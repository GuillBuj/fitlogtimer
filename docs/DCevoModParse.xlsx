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Inno" sheetId="16" r:id="rId19"/>
    <sheet state="visible" name=".DDB" sheetId="17" r:id="rId20"/>
    <sheet state="visible" name="F Tiger Shark Program" sheetId="18" r:id="rId21"/>
    <sheet state="visible" name="Tiger Shark Program" sheetId="19" r:id="rId22"/>
    <sheet state="visible" name="SBs" sheetId="20" r:id="rId23"/>
    <sheet state="visible" name="Est 1RM" sheetId="21" r:id="rId24"/>
    <sheet state="visible" name="Est 1RM2" sheetId="22" r:id="rId25"/>
    <sheet state="visible" name="Calculateur Cible" sheetId="23" r:id="rId26"/>
    <sheet state="visible" name="Inv 1RM" sheetId="24" r:id="rId27"/>
    <sheet state="visible" name="Dev classique ligne" sheetId="25" r:id="rId28"/>
    <sheet state="visible" name="Dev Classique" sheetId="26" r:id="rId29"/>
    <sheet state="visible" name="Old Séance lourde" sheetId="27" r:id="rId30"/>
    <sheet state="visible" name="Old DC séance légère" sheetId="28" r:id="rId31"/>
    <sheet state="visible" name="Courbes 1RM" sheetId="29" r:id="rId32"/>
    <sheet state="visible" name="prov" sheetId="30" r:id="rId33"/>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<sst xmlns="http://schemas.openxmlformats.org/spreadsheetml/2006/main" count="1346" uniqueCount="346">
  <si>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</si>
  <si>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</si>
  <si>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</si>
  <si>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</si>
  <si>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</si>
  <si>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</si>
  <si>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</si>
  <si>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</si>
  <si>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</si>
  <si>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</si>
  <si>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</si>
  <si>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</si>
  <si>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</si>
  <si>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</si>
  <si>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</si>
  <si>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</si>
  <si>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</si>
  <si>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</si>
  <si>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</si>
  <si>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</si>
  <si>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</si>
  <si>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</si>
  <si>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</si>
  <si>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</si>
  <si>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</si>
  <si>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</si>
  <si>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</si>
  <si>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</si>
  <si>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</si>
  <si>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</si>
  <si>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</si>
  <si>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</si>
  <si>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</si>
  <si>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</si>
  <si>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</si>
  <si>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</si>
  <si>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</si>
  <si>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</si>
  <si>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</si>
  <si>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</si>
  <si>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</si>
  <si>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</si>
  <si>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</si>
  <si>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</si>
  <si>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</si>
  <si>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</si>
  <si>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</si>
  <si>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</si>
  <si>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</si>
  <si>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</si>
  <si>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</si>
  <si>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</si>
  <si>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</si>
  <si>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</si>
  <si>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</si>
  <si>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</si>
  <si>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</si>
  <si>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</si>
  <si>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</si>
  <si>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</si>
  <si>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</si>
  <si>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</si>
  <si>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</si>
  <si>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</si>
  <si>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</si>
  <si>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</si>
  <si>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</si>
  <si>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</si>
  <si>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</si>
  <si>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</si>
  <si>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</si>
  <si>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</si>
  <si>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</si>
  <si>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</si>
  <si>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</si>
  <si>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</si>
  <si>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</si>
  <si>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</si>
  <si>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</si>
  <si>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</si>
  <si>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</si>
  <si>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</si>
  <si>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</si>
  <si>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</si>
  <si>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</si>
  <si>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</si>
  <si>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</si>
  <si>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</si>
  <si>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</si>
  <si>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</si>
  <si>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</si>
  <si>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</si>
  <si>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</si>
  <si>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</si>
  <si>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</si>
  <si>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</si>
  <si>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</si>
  <si>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</si>
  <si>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</si>
  <si>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</si>
  <si>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</si>
  <si>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</si>
  <si>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</si>
  <si>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</si>
  <si>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</si>
  <si>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</si>
  <si>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</si>
  <si>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</si>
  <si>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</si>
  <si>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</si>
  <si>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</si>
  <si>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</si>
  <si>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</si>
  <si>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</si>
  <si>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</si>
  <si>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</si>
  <si>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</si>
  <si>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</si>
  <si>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</si>
  <si>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</si>
  <si>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</si>
  <si>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</si>
  <si>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</si>
  <si>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</si>
  <si>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</si>
  <si>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</si>
  <si>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</si>
  <si>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</si>
  <si>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</si>
  <si>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</si>
  <si>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</si>
  <si>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</si>
  <si>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</si>
  <si>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</si>
  <si>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</si>
  <si>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</si>
  <si>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</si>
  <si>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</si>
  <si>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</si>
  <si>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</si>
  <si>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</si>
  <si>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</si>
  <si>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</si>
  <si>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</si>
  <si>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</si>
  <si>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</si>
  <si>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</si>
  <si>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</si>
  <si>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</si>
  <si>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</si>
  <si>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</si>
  <si>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</si>
  <si>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</si>
  <si>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</si>
  <si>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</si>
  <si>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</si>
  <si>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</si>
  <si>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</si>
  <si>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</si>
  <si>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</si>
  <si>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</si>
  <si>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</si>
  <si>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</si>
  <si>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</si>
  <si>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</si>
  <si>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</si>
  <si>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</si>
  <si>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</si>
  <si>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</si>
  <si>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DCX</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</si>
  <si>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</si>
  <si>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</si>
  <si>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</si>
  <si>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</si>
  <si>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</si>
  <si>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</si>
  <si>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</si>
  <si>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</si>
  <si>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</si>
  <si>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</si>
  <si>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</si>
  <si>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</si>
  <si>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</si>
  <si>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</si>
  <si>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</si>
  <si>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</si>
  <si>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</si>
  <si>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</si>
  <si>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</si>
  <si>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</si>
  <si>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</si>
  <si>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</si>
  <si>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</si>
  <si>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</si>
  <si>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</si>
  <si>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</si>
  <si>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</si>
  <si>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</si>
  <si>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</si>
  <si>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</si>
  <si>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</si>
  <si>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</si>
  <si>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</si>
  <si>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</si>
  <si>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</si>
  <si>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</si>
  <si>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</si>
  <si>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</si>
  <si>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</si>
  <si>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</si>
  <si>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</si>
  <si>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</si>
  <si>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</si>
  <si>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</si>
  <si>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</si>
  <si>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</si>
  <si>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</si>
  <si>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</si>
  <si>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</si>
  <si>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</si>
  <si>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</si>
  <si>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</si>
  <si>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</si>
  <si>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</si>
  <si>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</si>
  <si>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</si>
  <si>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</si>
  <si>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</si>
  <si>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</si>
  <si>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</si>
  <si>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</si>
  <si>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</si>
  <si>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</si>
  <si>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</si>
  <si>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</si>
  <si>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</si>
  <si>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</si>
  <si>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</si>
  <si>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</si>
  <si>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</si>
  <si>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</si>
  <si>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</si>
  <si>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M5</t>
  </si>
  <si>
    <t>Inno</t>
  </si>
  <si>
    <t>DC milieu</t>
  </si>
  <si>
    <t>DCM</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</si>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</sst>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1082846979"/>
        <c:axId val="2086787403"/>
      </c:scatterChart>
      <c:valAx>
        <c:axId val="1082846979"/>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086787403"/>
      </c:valAx>
      <c:valAx>
        <c:axId val="2086787403"/>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108284697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570923889"/>
        <c:axId val="709052675"/>
      </c:scatterChart>
      <c:valAx>
        <c:axId val="57092388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9052675"/>
      </c:valAx>
      <c:valAx>
        <c:axId val="709052675"/>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092388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223916939"/>
        <c:axId val="1249193298"/>
      </c:scatterChart>
      <c:valAx>
        <c:axId val="12239169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249193298"/>
      </c:valAx>
      <c:valAx>
        <c:axId val="1249193298"/>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23916939"/>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669841269"/>
        <c:axId val="1119772481"/>
      </c:scatterChart>
      <c:valAx>
        <c:axId val="6698412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119772481"/>
      </c:valAx>
      <c:valAx>
        <c:axId val="1119772481"/>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669841269"/>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921942086"/>
        <c:axId val="1247744439"/>
      </c:lineChart>
      <c:catAx>
        <c:axId val="9219420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7744439"/>
      </c:catAx>
      <c:valAx>
        <c:axId val="1247744439"/>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1942086"/>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516903388"/>
        <c:axId val="1411220598"/>
      </c:lineChart>
      <c:catAx>
        <c:axId val="5169033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11220598"/>
      </c:catAx>
      <c:valAx>
        <c:axId val="1411220598"/>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6903388"/>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27428859"/>
        <c:axId val="84456538"/>
      </c:lineChart>
      <c:catAx>
        <c:axId val="274288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84456538"/>
      </c:catAx>
      <c:valAx>
        <c:axId val="8445653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742885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1691122020"/>
        <c:axId val="2073211457"/>
      </c:lineChart>
      <c:catAx>
        <c:axId val="16911220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2073211457"/>
      </c:catAx>
      <c:valAx>
        <c:axId val="2073211457"/>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691122020"/>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268075089"/>
        <c:axId val="351595692"/>
      </c:lineChart>
      <c:catAx>
        <c:axId val="2680750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351595692"/>
      </c:catAx>
      <c:valAx>
        <c:axId val="351595692"/>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6807508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672602809"/>
        <c:axId val="477902842"/>
      </c:scatterChart>
      <c:valAx>
        <c:axId val="1672602809"/>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477902842"/>
      </c:valAx>
      <c:valAx>
        <c:axId val="477902842"/>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67260280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515209716"/>
        <c:axId val="983727773"/>
      </c:lineChart>
      <c:catAx>
        <c:axId val="15152097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983727773"/>
      </c:catAx>
      <c:valAx>
        <c:axId val="983727773"/>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1520971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39"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4">
        <v>45929.0</v>
      </c>
      <c r="AO1" s="95" t="s">
        <v>160</v>
      </c>
      <c r="AP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5">
        <v>66.8</v>
      </c>
      <c r="AO2" s="93"/>
      <c r="AP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v>60.0</v>
      </c>
      <c r="AO3" s="96"/>
      <c r="AP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c r="AN4" s="3">
        <v>11.0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c r="AN5" s="3">
        <v>11.0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c r="AN6" s="3">
        <v>11.0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v>70.0</v>
      </c>
      <c r="AO7" s="96"/>
      <c r="AP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8">
        <v>3.0</v>
      </c>
      <c r="AO8" s="99"/>
      <c r="AP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v>80.0</v>
      </c>
      <c r="AO9" s="96"/>
      <c r="AP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8">
        <v>2.0</v>
      </c>
      <c r="AO10" s="99"/>
      <c r="AP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v>90.0</v>
      </c>
      <c r="AO11" s="96"/>
      <c r="AP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8">
        <v>1.0</v>
      </c>
      <c r="AO12" s="99"/>
      <c r="AP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6">
        <v>71.0</v>
      </c>
      <c r="AO13" s="97"/>
      <c r="AP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2">
        <v>5.0</v>
      </c>
      <c r="AO14" s="113"/>
      <c r="AP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7"/>
      <c r="AP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3"/>
      <c r="AP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3"/>
      <c r="AP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3"/>
      <c r="AP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6">
        <v>48.0</v>
      </c>
      <c r="AO19" s="97"/>
      <c r="AP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8">
        <v>8.0</v>
      </c>
      <c r="AO20" s="99"/>
      <c r="AP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6">
        <v>58.0</v>
      </c>
      <c r="AO21" s="97"/>
      <c r="AP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8">
        <v>8.0</v>
      </c>
      <c r="AO22" s="99"/>
      <c r="AP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6">
        <v>68.0</v>
      </c>
      <c r="AO23" s="97"/>
      <c r="AP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8">
        <v>11.0</v>
      </c>
      <c r="AO24" s="99"/>
      <c r="AP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t="s">
        <v>143</v>
      </c>
      <c r="AO25" s="96"/>
      <c r="AP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8">
        <v>15.0</v>
      </c>
      <c r="AO26" s="99"/>
      <c r="AP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8">
        <v>15.0</v>
      </c>
      <c r="AO27" s="99"/>
      <c r="AP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8">
        <v>15.0</v>
      </c>
      <c r="AO28" s="99"/>
      <c r="AP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c r="AP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3"/>
      <c r="AP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3"/>
      <c r="AP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3"/>
      <c r="AP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v>32.0</v>
      </c>
      <c r="AO33" s="96"/>
      <c r="AP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8">
        <v>6.0</v>
      </c>
      <c r="AO34" s="99"/>
      <c r="AP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8">
        <v>6.0</v>
      </c>
      <c r="AO35" s="99"/>
      <c r="AP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8">
        <v>6.0</v>
      </c>
      <c r="AO36" s="99"/>
      <c r="AP36" s="99"/>
    </row>
    <row r="37" ht="12.0" customHeight="1">
      <c r="A37" s="96"/>
      <c r="B37" s="96" t="s">
        <v>169</v>
      </c>
      <c r="C37" s="96">
        <v>8.0</v>
      </c>
      <c r="D37" s="96"/>
      <c r="E37" s="96"/>
      <c r="F37" s="96"/>
      <c r="G37" s="96"/>
      <c r="H37" s="96"/>
      <c r="I37" s="96"/>
      <c r="J37" s="96"/>
      <c r="K37" s="96"/>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7"/>
      <c r="AK37" s="97"/>
      <c r="AL37" s="97"/>
      <c r="AM37" s="96"/>
      <c r="AN37" s="96">
        <v>30.0</v>
      </c>
      <c r="AO37" s="97"/>
      <c r="AP37" s="96">
        <v>40.0</v>
      </c>
    </row>
    <row r="38" ht="12.0" customHeight="1">
      <c r="A38" s="98"/>
      <c r="B38" s="98"/>
      <c r="C38" s="99"/>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9"/>
      <c r="AK38" s="99"/>
      <c r="AL38" s="99"/>
      <c r="AM38" s="98"/>
      <c r="AN38" s="98">
        <v>2.0</v>
      </c>
      <c r="AO38" s="99"/>
      <c r="AP38" s="99"/>
    </row>
    <row r="39" ht="12.0" customHeight="1">
      <c r="A39" s="98"/>
      <c r="B39" s="98"/>
      <c r="C39" s="99"/>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9"/>
      <c r="AK39" s="99"/>
      <c r="AL39" s="99"/>
      <c r="AM39" s="98"/>
      <c r="AN39" s="98">
        <v>2.0</v>
      </c>
      <c r="AO39" s="99"/>
      <c r="AP39" s="99"/>
    </row>
    <row r="40" ht="12.0" customHeight="1">
      <c r="A40" s="98"/>
      <c r="B40" s="98"/>
      <c r="C40" s="99"/>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9"/>
      <c r="AK40" s="99"/>
      <c r="AL40" s="99"/>
      <c r="AM40" s="98"/>
      <c r="AN40" s="98">
        <v>3.0</v>
      </c>
      <c r="AO40" s="99"/>
      <c r="AP40" s="99"/>
    </row>
    <row r="41" ht="12.0" customHeight="1">
      <c r="A41" s="96" t="s">
        <v>155</v>
      </c>
      <c r="B41" s="96" t="s">
        <v>170</v>
      </c>
      <c r="C41" s="97"/>
      <c r="D41" s="96">
        <v>5.0</v>
      </c>
      <c r="E41" s="96">
        <v>5.0</v>
      </c>
      <c r="F41" s="96">
        <v>5.0</v>
      </c>
      <c r="G41" s="96">
        <v>5.0</v>
      </c>
      <c r="H41" s="96">
        <v>5.0</v>
      </c>
      <c r="I41" s="96">
        <v>5.0</v>
      </c>
      <c r="J41" s="96">
        <v>5.0</v>
      </c>
      <c r="K41" s="96">
        <v>5.0</v>
      </c>
      <c r="L41" s="96">
        <v>5.0</v>
      </c>
      <c r="M41" s="96">
        <v>5.0</v>
      </c>
      <c r="N41" s="96">
        <v>5.0</v>
      </c>
      <c r="O41" s="96">
        <v>5.5</v>
      </c>
      <c r="P41" s="96">
        <v>5.5</v>
      </c>
      <c r="Q41" s="96">
        <v>5.5</v>
      </c>
      <c r="R41" s="96">
        <v>5.5</v>
      </c>
      <c r="S41" s="96">
        <v>5.5</v>
      </c>
      <c r="T41" s="96">
        <v>6.0</v>
      </c>
      <c r="U41" s="96">
        <v>6.0</v>
      </c>
      <c r="V41" s="96">
        <v>6.0</v>
      </c>
      <c r="W41" s="96">
        <v>6.0</v>
      </c>
      <c r="X41" s="96">
        <v>6.0</v>
      </c>
      <c r="Y41" s="96">
        <v>6.5</v>
      </c>
      <c r="Z41" s="96">
        <v>6.5</v>
      </c>
      <c r="AA41" s="96">
        <v>6.5</v>
      </c>
      <c r="AB41" s="96">
        <v>6.5</v>
      </c>
      <c r="AC41" s="96">
        <v>6.5</v>
      </c>
      <c r="AD41" s="96">
        <v>6.5</v>
      </c>
      <c r="AE41" s="96">
        <v>6.5</v>
      </c>
      <c r="AF41" s="96">
        <v>6.5</v>
      </c>
      <c r="AG41" s="97"/>
      <c r="AH41" s="96">
        <v>6.5</v>
      </c>
      <c r="AI41" s="96">
        <v>7.0</v>
      </c>
      <c r="AJ41" s="96"/>
      <c r="AK41" s="96"/>
      <c r="AL41" s="96">
        <v>7.0</v>
      </c>
      <c r="AM41" s="96">
        <v>5.0</v>
      </c>
      <c r="AN41" s="96">
        <v>5.0</v>
      </c>
      <c r="AO41" s="96"/>
      <c r="AP41" s="97"/>
    </row>
    <row r="42" ht="12.0" customHeight="1">
      <c r="A42" s="93"/>
      <c r="B42" s="93"/>
      <c r="C42" s="93"/>
      <c r="D42" s="95">
        <v>10.0</v>
      </c>
      <c r="E42" s="95">
        <v>11.0</v>
      </c>
      <c r="F42" s="95">
        <v>12.0</v>
      </c>
      <c r="G42" s="95">
        <v>13.0</v>
      </c>
      <c r="H42" s="95">
        <v>14.0</v>
      </c>
      <c r="I42" s="95">
        <v>15.0</v>
      </c>
      <c r="J42" s="95">
        <v>16.0</v>
      </c>
      <c r="K42" s="95">
        <v>17.0</v>
      </c>
      <c r="L42" s="95">
        <v>18.0</v>
      </c>
      <c r="M42" s="95">
        <v>19.0</v>
      </c>
      <c r="N42" s="95">
        <v>20.0</v>
      </c>
      <c r="O42" s="95">
        <v>12.0</v>
      </c>
      <c r="P42" s="95">
        <v>13.0</v>
      </c>
      <c r="Q42" s="95">
        <v>14.0</v>
      </c>
      <c r="R42" s="95">
        <v>15.0</v>
      </c>
      <c r="S42" s="95">
        <v>16.0</v>
      </c>
      <c r="T42" s="95">
        <v>12.0</v>
      </c>
      <c r="U42" s="95">
        <v>13.0</v>
      </c>
      <c r="V42" s="95">
        <v>14.0</v>
      </c>
      <c r="W42" s="95">
        <v>15.0</v>
      </c>
      <c r="X42" s="95">
        <v>17.0</v>
      </c>
      <c r="Y42" s="95">
        <v>12.0</v>
      </c>
      <c r="Z42" s="95">
        <v>13.0</v>
      </c>
      <c r="AA42" s="95">
        <v>14.0</v>
      </c>
      <c r="AB42" s="95">
        <v>15.0</v>
      </c>
      <c r="AC42" s="95">
        <v>16.0</v>
      </c>
      <c r="AD42" s="95">
        <v>17.0</v>
      </c>
      <c r="AE42" s="95">
        <v>18.0</v>
      </c>
      <c r="AF42" s="95">
        <v>19.0</v>
      </c>
      <c r="AG42" s="93"/>
      <c r="AH42" s="95">
        <v>20.0</v>
      </c>
      <c r="AI42" s="95">
        <v>10.0</v>
      </c>
      <c r="AJ42" s="93"/>
      <c r="AK42" s="93"/>
      <c r="AL42" s="95">
        <v>12.0</v>
      </c>
      <c r="AM42" s="95">
        <v>15.0</v>
      </c>
      <c r="AN42" s="95">
        <v>15.0</v>
      </c>
      <c r="AO42" s="93"/>
      <c r="AP42" s="93"/>
    </row>
    <row r="43" ht="12.0" customHeight="1">
      <c r="A43" s="93"/>
      <c r="B43" s="93"/>
      <c r="C43" s="93"/>
      <c r="D43" s="95">
        <v>10.0</v>
      </c>
      <c r="E43" s="95">
        <v>11.0</v>
      </c>
      <c r="F43" s="95">
        <v>12.0</v>
      </c>
      <c r="G43" s="95">
        <v>13.0</v>
      </c>
      <c r="H43" s="95">
        <v>14.0</v>
      </c>
      <c r="I43" s="95">
        <v>15.0</v>
      </c>
      <c r="J43" s="95">
        <v>16.0</v>
      </c>
      <c r="K43" s="95">
        <v>17.0</v>
      </c>
      <c r="L43" s="95">
        <v>18.0</v>
      </c>
      <c r="M43" s="95">
        <v>19.0</v>
      </c>
      <c r="N43" s="95">
        <v>20.0</v>
      </c>
      <c r="O43" s="95">
        <v>12.0</v>
      </c>
      <c r="P43" s="95">
        <v>13.0</v>
      </c>
      <c r="Q43" s="95">
        <v>14.0</v>
      </c>
      <c r="R43" s="95">
        <v>15.0</v>
      </c>
      <c r="S43" s="95">
        <v>16.0</v>
      </c>
      <c r="T43" s="95">
        <v>12.0</v>
      </c>
      <c r="U43" s="95">
        <v>13.0</v>
      </c>
      <c r="V43" s="95">
        <v>14.0</v>
      </c>
      <c r="W43" s="95">
        <v>15.0</v>
      </c>
      <c r="X43" s="95">
        <v>17.0</v>
      </c>
      <c r="Y43" s="95">
        <v>12.0</v>
      </c>
      <c r="Z43" s="95">
        <v>13.0</v>
      </c>
      <c r="AA43" s="95">
        <v>14.0</v>
      </c>
      <c r="AB43" s="95">
        <v>15.0</v>
      </c>
      <c r="AC43" s="95">
        <v>16.0</v>
      </c>
      <c r="AD43" s="95">
        <v>17.0</v>
      </c>
      <c r="AE43" s="95">
        <v>18.0</v>
      </c>
      <c r="AF43" s="95">
        <v>19.0</v>
      </c>
      <c r="AG43" s="93"/>
      <c r="AH43" s="95">
        <v>20.0</v>
      </c>
      <c r="AI43" s="95">
        <v>10.0</v>
      </c>
      <c r="AJ43" s="93"/>
      <c r="AK43" s="93"/>
      <c r="AL43" s="95">
        <v>12.0</v>
      </c>
      <c r="AM43" s="95">
        <v>15.0</v>
      </c>
      <c r="AN43" s="95">
        <v>15.0</v>
      </c>
      <c r="AO43" s="93"/>
      <c r="AP43" s="93"/>
    </row>
    <row r="44" ht="12.0" customHeight="1">
      <c r="A44" s="93"/>
      <c r="B44" s="93"/>
      <c r="C44" s="93"/>
      <c r="D44" s="95">
        <v>10.0</v>
      </c>
      <c r="E44" s="95">
        <v>11.0</v>
      </c>
      <c r="F44" s="95">
        <v>12.0</v>
      </c>
      <c r="G44" s="95">
        <v>13.0</v>
      </c>
      <c r="H44" s="95">
        <v>14.0</v>
      </c>
      <c r="I44" s="95">
        <v>15.0</v>
      </c>
      <c r="J44" s="95">
        <v>16.0</v>
      </c>
      <c r="K44" s="95">
        <v>17.0</v>
      </c>
      <c r="L44" s="95">
        <v>18.0</v>
      </c>
      <c r="M44" s="95">
        <v>19.0</v>
      </c>
      <c r="N44" s="95">
        <v>20.0</v>
      </c>
      <c r="O44" s="95">
        <v>12.0</v>
      </c>
      <c r="P44" s="95">
        <v>13.0</v>
      </c>
      <c r="Q44" s="95">
        <v>14.0</v>
      </c>
      <c r="R44" s="95">
        <v>15.0</v>
      </c>
      <c r="S44" s="95">
        <v>16.0</v>
      </c>
      <c r="T44" s="95">
        <v>12.0</v>
      </c>
      <c r="U44" s="95">
        <v>13.0</v>
      </c>
      <c r="V44" s="95">
        <v>14.0</v>
      </c>
      <c r="W44" s="95">
        <v>15.0</v>
      </c>
      <c r="X44" s="95">
        <v>17.0</v>
      </c>
      <c r="Y44" s="95">
        <v>12.0</v>
      </c>
      <c r="Z44" s="95">
        <v>13.0</v>
      </c>
      <c r="AA44" s="95">
        <v>14.0</v>
      </c>
      <c r="AB44" s="95">
        <v>15.0</v>
      </c>
      <c r="AC44" s="95">
        <v>16.0</v>
      </c>
      <c r="AD44" s="95">
        <v>17.0</v>
      </c>
      <c r="AE44" s="95">
        <v>18.0</v>
      </c>
      <c r="AF44" s="95">
        <v>19.0</v>
      </c>
      <c r="AG44" s="93"/>
      <c r="AH44" s="95">
        <v>20.0</v>
      </c>
      <c r="AI44" s="95">
        <v>10.0</v>
      </c>
      <c r="AJ44" s="93"/>
      <c r="AK44" s="93"/>
      <c r="AL44" s="95">
        <v>12.0</v>
      </c>
      <c r="AM44" s="95">
        <v>15.0</v>
      </c>
      <c r="AN44" s="95">
        <v>20.0</v>
      </c>
      <c r="AO44" s="93"/>
      <c r="AP44" s="93"/>
    </row>
    <row r="45" ht="12.0" customHeight="1">
      <c r="A45" s="96" t="s">
        <v>156</v>
      </c>
      <c r="B45" s="96" t="s">
        <v>171</v>
      </c>
      <c r="C45" s="97"/>
      <c r="D45" s="96">
        <v>5.0</v>
      </c>
      <c r="E45" s="96">
        <v>5.0</v>
      </c>
      <c r="F45" s="96">
        <v>5.0</v>
      </c>
      <c r="G45" s="96">
        <v>5.0</v>
      </c>
      <c r="H45" s="96">
        <v>5.0</v>
      </c>
      <c r="I45" s="96">
        <v>5.0</v>
      </c>
      <c r="J45" s="96">
        <v>5.0</v>
      </c>
      <c r="K45" s="96">
        <v>5.0</v>
      </c>
      <c r="L45" s="96">
        <v>5.0</v>
      </c>
      <c r="M45" s="96">
        <v>5.0</v>
      </c>
      <c r="N45" s="96">
        <v>5.0</v>
      </c>
      <c r="O45" s="96">
        <v>6.0</v>
      </c>
      <c r="P45" s="96">
        <v>6.0</v>
      </c>
      <c r="Q45" s="96">
        <v>6.0</v>
      </c>
      <c r="R45" s="96">
        <v>6.0</v>
      </c>
      <c r="S45" s="96">
        <v>6.0</v>
      </c>
      <c r="T45" s="96">
        <v>6.0</v>
      </c>
      <c r="U45" s="96">
        <v>6.0</v>
      </c>
      <c r="V45" s="96">
        <v>6.0</v>
      </c>
      <c r="W45" s="96">
        <v>6.0</v>
      </c>
      <c r="X45" s="96">
        <v>6.0</v>
      </c>
      <c r="Y45" s="96">
        <v>6.5</v>
      </c>
      <c r="Z45" s="96">
        <v>6.5</v>
      </c>
      <c r="AA45" s="96">
        <v>6.5</v>
      </c>
      <c r="AB45" s="96">
        <v>6.5</v>
      </c>
      <c r="AC45" s="96">
        <v>6.5</v>
      </c>
      <c r="AD45" s="96">
        <v>6.5</v>
      </c>
      <c r="AE45" s="96">
        <v>6.5</v>
      </c>
      <c r="AF45" s="97"/>
      <c r="AG45" s="97"/>
      <c r="AH45" s="96">
        <v>6.5</v>
      </c>
      <c r="AI45" s="96">
        <v>7.0</v>
      </c>
      <c r="AJ45" s="96"/>
      <c r="AK45" s="96"/>
      <c r="AL45" s="96">
        <v>7.0</v>
      </c>
      <c r="AM45" s="96">
        <v>5.0</v>
      </c>
      <c r="AN45" s="96">
        <v>5.0</v>
      </c>
      <c r="AO45" s="96"/>
      <c r="AP45" s="97"/>
    </row>
    <row r="46" ht="12.0" customHeight="1">
      <c r="A46" s="93"/>
      <c r="B46" s="93"/>
      <c r="C46" s="93"/>
      <c r="D46" s="95">
        <v>15.0</v>
      </c>
      <c r="E46" s="95">
        <v>16.0</v>
      </c>
      <c r="F46" s="95">
        <v>16.0</v>
      </c>
      <c r="G46" s="95">
        <v>16.0</v>
      </c>
      <c r="H46" s="95">
        <v>17.0</v>
      </c>
      <c r="I46" s="95">
        <v>15.0</v>
      </c>
      <c r="J46" s="95">
        <v>17.0</v>
      </c>
      <c r="K46" s="95">
        <v>17.0</v>
      </c>
      <c r="L46" s="95">
        <v>18.0</v>
      </c>
      <c r="M46" s="95">
        <v>18.0</v>
      </c>
      <c r="N46" s="95">
        <v>18.0</v>
      </c>
      <c r="O46" s="95">
        <v>10.0</v>
      </c>
      <c r="P46" s="95">
        <v>11.0</v>
      </c>
      <c r="Q46" s="95">
        <v>12.0</v>
      </c>
      <c r="R46" s="95">
        <v>13.0</v>
      </c>
      <c r="S46" s="95">
        <v>13.0</v>
      </c>
      <c r="T46" s="95">
        <v>14.0</v>
      </c>
      <c r="U46" s="95">
        <v>14.0</v>
      </c>
      <c r="V46" s="95">
        <v>14.0</v>
      </c>
      <c r="W46" s="95">
        <v>15.0</v>
      </c>
      <c r="X46" s="95">
        <v>15.0</v>
      </c>
      <c r="Y46" s="95">
        <v>10.0</v>
      </c>
      <c r="Z46" s="95">
        <v>11.0</v>
      </c>
      <c r="AA46" s="95">
        <v>11.0</v>
      </c>
      <c r="AB46" s="95">
        <v>12.0</v>
      </c>
      <c r="AC46" s="95">
        <v>13.0</v>
      </c>
      <c r="AD46" s="95">
        <v>13.0</v>
      </c>
      <c r="AE46" s="95">
        <v>14.0</v>
      </c>
      <c r="AF46" s="93"/>
      <c r="AG46" s="93"/>
      <c r="AH46" s="95">
        <v>15.0</v>
      </c>
      <c r="AI46" s="95">
        <v>8.0</v>
      </c>
      <c r="AJ46" s="93"/>
      <c r="AK46" s="93"/>
      <c r="AL46" s="95">
        <v>8.0</v>
      </c>
      <c r="AM46" s="95">
        <v>15.0</v>
      </c>
      <c r="AN46" s="95">
        <v>15.0</v>
      </c>
      <c r="AO46" s="93"/>
      <c r="AP46" s="93"/>
    </row>
    <row r="47" ht="12.0" customHeight="1">
      <c r="A47" s="93"/>
      <c r="B47" s="93"/>
      <c r="C47" s="93"/>
      <c r="D47" s="95">
        <v>15.0</v>
      </c>
      <c r="E47" s="95">
        <v>15.0</v>
      </c>
      <c r="F47" s="95">
        <v>16.0</v>
      </c>
      <c r="G47" s="95">
        <v>16.0</v>
      </c>
      <c r="H47" s="95">
        <v>16.0</v>
      </c>
      <c r="I47" s="95">
        <v>15.0</v>
      </c>
      <c r="J47" s="95">
        <v>17.0</v>
      </c>
      <c r="K47" s="95">
        <v>17.0</v>
      </c>
      <c r="L47" s="95">
        <v>17.0</v>
      </c>
      <c r="M47" s="95">
        <v>18.0</v>
      </c>
      <c r="N47" s="95">
        <v>18.0</v>
      </c>
      <c r="O47" s="95">
        <v>10.0</v>
      </c>
      <c r="P47" s="95">
        <v>11.0</v>
      </c>
      <c r="Q47" s="95">
        <v>12.0</v>
      </c>
      <c r="R47" s="95">
        <v>13.0</v>
      </c>
      <c r="S47" s="95">
        <v>13.0</v>
      </c>
      <c r="T47" s="95">
        <v>13.0</v>
      </c>
      <c r="U47" s="95">
        <v>14.0</v>
      </c>
      <c r="V47" s="95">
        <v>14.0</v>
      </c>
      <c r="W47" s="95">
        <v>15.0</v>
      </c>
      <c r="X47" s="95">
        <v>15.0</v>
      </c>
      <c r="Y47" s="95">
        <v>10.0</v>
      </c>
      <c r="Z47" s="95">
        <v>11.0</v>
      </c>
      <c r="AA47" s="95">
        <v>11.0</v>
      </c>
      <c r="AB47" s="95">
        <v>12.0</v>
      </c>
      <c r="AC47" s="95">
        <v>13.0</v>
      </c>
      <c r="AD47" s="95">
        <v>13.0</v>
      </c>
      <c r="AE47" s="95">
        <v>14.0</v>
      </c>
      <c r="AF47" s="93"/>
      <c r="AG47" s="93"/>
      <c r="AH47" s="95">
        <v>15.0</v>
      </c>
      <c r="AI47" s="95">
        <v>8.0</v>
      </c>
      <c r="AJ47" s="93"/>
      <c r="AK47" s="93"/>
      <c r="AL47" s="95">
        <v>8.0</v>
      </c>
      <c r="AM47" s="95">
        <v>15.0</v>
      </c>
      <c r="AN47" s="95">
        <v>15.0</v>
      </c>
      <c r="AO47" s="93"/>
      <c r="AP47" s="93"/>
    </row>
    <row r="48" ht="12.0" customHeight="1">
      <c r="A48" s="93"/>
      <c r="B48" s="93"/>
      <c r="C48" s="93"/>
      <c r="D48" s="95">
        <v>15.0</v>
      </c>
      <c r="E48" s="95">
        <v>15.0</v>
      </c>
      <c r="F48" s="95">
        <v>15.0</v>
      </c>
      <c r="G48" s="95">
        <v>16.0</v>
      </c>
      <c r="H48" s="95">
        <v>16.0</v>
      </c>
      <c r="I48" s="95">
        <v>15.0</v>
      </c>
      <c r="J48" s="95">
        <v>16.0</v>
      </c>
      <c r="K48" s="95">
        <v>17.0</v>
      </c>
      <c r="L48" s="95">
        <v>17.0</v>
      </c>
      <c r="M48" s="95">
        <v>17.0</v>
      </c>
      <c r="N48" s="95">
        <v>18.0</v>
      </c>
      <c r="O48" s="95">
        <v>10.0</v>
      </c>
      <c r="P48" s="95">
        <v>11.0</v>
      </c>
      <c r="Q48" s="95">
        <v>12.0</v>
      </c>
      <c r="R48" s="95">
        <v>12.0</v>
      </c>
      <c r="S48" s="95">
        <v>13.0</v>
      </c>
      <c r="T48" s="95">
        <v>12.0</v>
      </c>
      <c r="U48" s="95">
        <v>12.0</v>
      </c>
      <c r="V48" s="95">
        <v>14.0</v>
      </c>
      <c r="W48" s="95">
        <v>13.0</v>
      </c>
      <c r="X48" s="95">
        <v>15.0</v>
      </c>
      <c r="Y48" s="95">
        <v>10.0</v>
      </c>
      <c r="Z48" s="95">
        <v>10.0</v>
      </c>
      <c r="AA48" s="95">
        <v>11.0</v>
      </c>
      <c r="AB48" s="95">
        <v>12.0</v>
      </c>
      <c r="AC48" s="95">
        <v>12.0</v>
      </c>
      <c r="AD48" s="95">
        <v>13.0</v>
      </c>
      <c r="AE48" s="95">
        <v>14.0</v>
      </c>
      <c r="AF48" s="93"/>
      <c r="AG48" s="93"/>
      <c r="AH48" s="95">
        <v>15.0</v>
      </c>
      <c r="AI48" s="95">
        <v>8.0</v>
      </c>
      <c r="AJ48" s="93"/>
      <c r="AK48" s="93"/>
      <c r="AL48" s="95">
        <v>8.0</v>
      </c>
      <c r="AM48" s="95">
        <v>15.0</v>
      </c>
      <c r="AN48" s="95">
        <v>15.0</v>
      </c>
      <c r="AO48" s="93"/>
      <c r="AP48" s="93"/>
    </row>
    <row r="49" ht="12.0" customHeight="1">
      <c r="A49" s="96" t="s">
        <v>157</v>
      </c>
      <c r="B49" s="96" t="s">
        <v>157</v>
      </c>
      <c r="C49" s="97"/>
      <c r="D49" s="96">
        <v>10.0</v>
      </c>
      <c r="E49" s="96">
        <v>10.0</v>
      </c>
      <c r="F49" s="96">
        <v>10.0</v>
      </c>
      <c r="G49" s="96">
        <v>10.0</v>
      </c>
      <c r="H49" s="96">
        <v>10.0</v>
      </c>
      <c r="I49" s="96">
        <v>10.0</v>
      </c>
      <c r="J49" s="96">
        <v>10.0</v>
      </c>
      <c r="K49" s="96">
        <v>10.0</v>
      </c>
      <c r="L49" s="96">
        <v>11.0</v>
      </c>
      <c r="M49" s="96">
        <v>11.0</v>
      </c>
      <c r="N49" s="96">
        <v>11.0</v>
      </c>
      <c r="O49" s="96">
        <v>11.0</v>
      </c>
      <c r="P49" s="96">
        <v>12.0</v>
      </c>
      <c r="Q49" s="96">
        <v>12.0</v>
      </c>
      <c r="R49" s="96">
        <v>12.0</v>
      </c>
      <c r="S49" s="96">
        <v>12.0</v>
      </c>
      <c r="T49" s="96">
        <v>13.0</v>
      </c>
      <c r="U49" s="96">
        <v>13.0</v>
      </c>
      <c r="V49" s="96">
        <v>13.0</v>
      </c>
      <c r="W49" s="96">
        <v>13.0</v>
      </c>
      <c r="X49" s="96">
        <v>13.0</v>
      </c>
      <c r="Y49" s="96">
        <v>13.0</v>
      </c>
      <c r="Z49" s="96">
        <v>13.0</v>
      </c>
      <c r="AA49" s="96">
        <v>13.0</v>
      </c>
      <c r="AB49" s="96">
        <v>15.0</v>
      </c>
      <c r="AC49" s="96">
        <v>15.0</v>
      </c>
      <c r="AD49" s="96">
        <v>14.0</v>
      </c>
      <c r="AE49" s="96">
        <v>14.0</v>
      </c>
      <c r="AF49" s="97"/>
      <c r="AG49" s="97"/>
      <c r="AH49" s="96">
        <v>13.0</v>
      </c>
      <c r="AI49" s="96">
        <v>13.0</v>
      </c>
      <c r="AJ49" s="96"/>
      <c r="AK49" s="96"/>
      <c r="AL49" s="96">
        <v>13.0</v>
      </c>
      <c r="AM49" s="96">
        <v>10.0</v>
      </c>
      <c r="AN49" s="96"/>
      <c r="AO49" s="96"/>
      <c r="AP49" s="97"/>
    </row>
    <row r="50" ht="12.0" customHeight="1">
      <c r="A50" s="93"/>
      <c r="B50" s="93"/>
      <c r="C50" s="93"/>
      <c r="D50" s="95">
        <v>15.0</v>
      </c>
      <c r="E50" s="95">
        <v>16.0</v>
      </c>
      <c r="F50" s="95">
        <v>16.0</v>
      </c>
      <c r="G50" s="95">
        <v>16.0</v>
      </c>
      <c r="H50" s="95">
        <v>16.0</v>
      </c>
      <c r="I50" s="95">
        <v>15.0</v>
      </c>
      <c r="J50" s="95">
        <v>17.0</v>
      </c>
      <c r="K50" s="95">
        <v>18.0</v>
      </c>
      <c r="L50" s="95">
        <v>15.0</v>
      </c>
      <c r="M50" s="95">
        <v>16.0</v>
      </c>
      <c r="N50" s="95">
        <v>17.0</v>
      </c>
      <c r="O50" s="95">
        <v>18.0</v>
      </c>
      <c r="P50" s="95">
        <v>12.0</v>
      </c>
      <c r="Q50" s="95">
        <v>13.0</v>
      </c>
      <c r="R50" s="95">
        <v>14.0</v>
      </c>
      <c r="S50" s="95">
        <v>15.0</v>
      </c>
      <c r="T50" s="95">
        <v>10.0</v>
      </c>
      <c r="U50" s="95">
        <v>11.0</v>
      </c>
      <c r="V50" s="95">
        <v>12.0</v>
      </c>
      <c r="W50" s="95">
        <v>13.0</v>
      </c>
      <c r="X50" s="95">
        <v>14.0</v>
      </c>
      <c r="Y50" s="95">
        <v>15.0</v>
      </c>
      <c r="Z50" s="95">
        <v>15.0</v>
      </c>
      <c r="AA50" s="95">
        <v>15.0</v>
      </c>
      <c r="AB50" s="95">
        <v>10.0</v>
      </c>
      <c r="AC50" s="95">
        <v>11.0</v>
      </c>
      <c r="AD50" s="95">
        <v>10.0</v>
      </c>
      <c r="AE50" s="95">
        <v>10.0</v>
      </c>
      <c r="AF50" s="93"/>
      <c r="AG50" s="93"/>
      <c r="AH50" s="95">
        <v>10.0</v>
      </c>
      <c r="AI50" s="95">
        <v>12.0</v>
      </c>
      <c r="AJ50" s="93"/>
      <c r="AK50" s="93"/>
      <c r="AL50" s="95">
        <v>10.0</v>
      </c>
      <c r="AM50" s="95">
        <v>10.0</v>
      </c>
      <c r="AN50" s="93"/>
      <c r="AO50" s="93"/>
      <c r="AP50" s="93"/>
    </row>
    <row r="51" ht="12.0" customHeight="1">
      <c r="A51" s="93"/>
      <c r="B51" s="93"/>
      <c r="C51" s="93"/>
      <c r="D51" s="95">
        <v>15.0</v>
      </c>
      <c r="E51" s="95">
        <v>16.0</v>
      </c>
      <c r="F51" s="95">
        <v>16.0</v>
      </c>
      <c r="G51" s="95">
        <v>16.0</v>
      </c>
      <c r="H51" s="95">
        <v>16.0</v>
      </c>
      <c r="I51" s="95">
        <v>15.0</v>
      </c>
      <c r="J51" s="95">
        <v>17.0</v>
      </c>
      <c r="K51" s="95">
        <v>18.0</v>
      </c>
      <c r="L51" s="95">
        <v>15.0</v>
      </c>
      <c r="M51" s="95">
        <v>16.0</v>
      </c>
      <c r="N51" s="95">
        <v>17.0</v>
      </c>
      <c r="O51" s="95">
        <v>18.0</v>
      </c>
      <c r="P51" s="95">
        <v>12.0</v>
      </c>
      <c r="Q51" s="95">
        <v>13.0</v>
      </c>
      <c r="R51" s="95">
        <v>14.0</v>
      </c>
      <c r="S51" s="95">
        <v>15.0</v>
      </c>
      <c r="T51" s="95">
        <v>10.0</v>
      </c>
      <c r="U51" s="95">
        <v>11.0</v>
      </c>
      <c r="V51" s="95">
        <v>12.0</v>
      </c>
      <c r="W51" s="95">
        <v>13.0</v>
      </c>
      <c r="X51" s="95">
        <v>14.0</v>
      </c>
      <c r="Y51" s="95">
        <v>15.0</v>
      </c>
      <c r="Z51" s="95">
        <v>15.0</v>
      </c>
      <c r="AA51" s="95">
        <v>15.0</v>
      </c>
      <c r="AB51" s="95">
        <v>10.0</v>
      </c>
      <c r="AC51" s="95">
        <v>11.0</v>
      </c>
      <c r="AD51" s="95">
        <v>10.0</v>
      </c>
      <c r="AE51" s="95">
        <v>10.0</v>
      </c>
      <c r="AF51" s="93"/>
      <c r="AG51" s="93"/>
      <c r="AH51" s="95">
        <v>10.0</v>
      </c>
      <c r="AI51" s="95">
        <v>12.0</v>
      </c>
      <c r="AJ51" s="93"/>
      <c r="AK51" s="93"/>
      <c r="AL51" s="95">
        <v>10.0</v>
      </c>
      <c r="AM51" s="93"/>
      <c r="AN51" s="93"/>
      <c r="AO51" s="93"/>
      <c r="AP51" s="93"/>
    </row>
    <row r="52" ht="12.0" customHeight="1">
      <c r="A52" s="93"/>
      <c r="B52" s="93"/>
      <c r="C52" s="93"/>
      <c r="D52" s="95">
        <v>15.0</v>
      </c>
      <c r="E52" s="95">
        <v>16.0</v>
      </c>
      <c r="F52" s="95">
        <v>16.0</v>
      </c>
      <c r="G52" s="95">
        <v>16.0</v>
      </c>
      <c r="H52" s="95">
        <v>16.0</v>
      </c>
      <c r="I52" s="95">
        <v>15.0</v>
      </c>
      <c r="J52" s="95">
        <v>17.0</v>
      </c>
      <c r="K52" s="95">
        <v>18.0</v>
      </c>
      <c r="L52" s="95">
        <v>15.0</v>
      </c>
      <c r="M52" s="95">
        <v>16.0</v>
      </c>
      <c r="N52" s="95">
        <v>17.0</v>
      </c>
      <c r="O52" s="95">
        <v>18.0</v>
      </c>
      <c r="P52" s="95">
        <v>12.0</v>
      </c>
      <c r="Q52" s="95">
        <v>13.0</v>
      </c>
      <c r="R52" s="95">
        <v>14.0</v>
      </c>
      <c r="S52" s="95">
        <v>15.0</v>
      </c>
      <c r="T52" s="95">
        <v>10.0</v>
      </c>
      <c r="U52" s="95">
        <v>11.0</v>
      </c>
      <c r="V52" s="95">
        <v>12.0</v>
      </c>
      <c r="W52" s="95">
        <v>13.0</v>
      </c>
      <c r="X52" s="95">
        <v>14.0</v>
      </c>
      <c r="Y52" s="95">
        <v>15.0</v>
      </c>
      <c r="Z52" s="95">
        <v>15.0</v>
      </c>
      <c r="AA52" s="95">
        <v>15.0</v>
      </c>
      <c r="AB52" s="95">
        <v>10.0</v>
      </c>
      <c r="AC52" s="95">
        <v>11.0</v>
      </c>
      <c r="AD52" s="95">
        <v>10.0</v>
      </c>
      <c r="AE52" s="95">
        <v>10.0</v>
      </c>
      <c r="AF52" s="93"/>
      <c r="AG52" s="93"/>
      <c r="AH52" s="95">
        <v>10.0</v>
      </c>
      <c r="AI52" s="95">
        <v>12.0</v>
      </c>
      <c r="AJ52" s="93"/>
      <c r="AK52" s="93"/>
      <c r="AL52" s="95">
        <v>10.0</v>
      </c>
      <c r="AM52" s="93"/>
      <c r="AN52" s="93"/>
      <c r="AO52" s="93"/>
      <c r="AP52" s="93"/>
    </row>
    <row r="53" ht="12.0" customHeight="1">
      <c r="A53" s="93"/>
      <c r="B53" s="93"/>
      <c r="C53" s="93"/>
      <c r="D53" s="93"/>
      <c r="E53" s="93"/>
      <c r="F53" s="95">
        <v>16.0</v>
      </c>
      <c r="G53" s="93"/>
      <c r="H53" s="93"/>
      <c r="I53" s="93"/>
      <c r="J53" s="93"/>
      <c r="K53" s="95">
        <v>18.0</v>
      </c>
      <c r="L53" s="95">
        <v>15.0</v>
      </c>
      <c r="M53" s="95">
        <v>16.0</v>
      </c>
      <c r="N53" s="95">
        <v>17.0</v>
      </c>
      <c r="O53" s="95">
        <v>18.0</v>
      </c>
      <c r="P53" s="95">
        <v>12.0</v>
      </c>
      <c r="Q53" s="95">
        <v>13.0</v>
      </c>
      <c r="R53" s="95">
        <v>14.0</v>
      </c>
      <c r="S53" s="95">
        <v>15.0</v>
      </c>
      <c r="T53" s="95">
        <v>10.0</v>
      </c>
      <c r="U53" s="95">
        <v>11.0</v>
      </c>
      <c r="V53" s="95">
        <v>12.0</v>
      </c>
      <c r="W53" s="95">
        <v>13.0</v>
      </c>
      <c r="X53" s="95">
        <v>14.0</v>
      </c>
      <c r="Y53" s="93"/>
      <c r="Z53" s="118">
        <v>15.0</v>
      </c>
      <c r="AA53" s="93"/>
      <c r="AB53" s="95">
        <v>14.0</v>
      </c>
      <c r="AC53" s="93"/>
      <c r="AD53" s="93"/>
      <c r="AE53" s="93"/>
      <c r="AF53" s="93"/>
      <c r="AG53" s="93"/>
      <c r="AH53" s="95">
        <v>20.0</v>
      </c>
      <c r="AI53" s="93"/>
      <c r="AJ53" s="93"/>
      <c r="AK53" s="93"/>
      <c r="AL53" s="93"/>
      <c r="AM53" s="93"/>
      <c r="AN53" s="93"/>
      <c r="AO53" s="93"/>
      <c r="AP53" s="93"/>
    </row>
    <row r="54">
      <c r="A54" s="3" t="s">
        <v>172</v>
      </c>
      <c r="B54" s="3" t="s">
        <v>160</v>
      </c>
      <c r="U54" s="101" t="s">
        <v>158</v>
      </c>
    </row>
    <row r="55">
      <c r="A55" s="15" t="s">
        <v>26</v>
      </c>
      <c r="B55" s="119"/>
      <c r="C55" s="68">
        <v>41.0</v>
      </c>
      <c r="AA55" s="53" t="s">
        <v>173</v>
      </c>
    </row>
    <row r="56">
      <c r="A56" s="15" t="s">
        <v>37</v>
      </c>
      <c r="B56" s="119"/>
      <c r="C56" s="68">
        <v>6.0</v>
      </c>
      <c r="AA56" s="120" t="s">
        <v>174</v>
      </c>
    </row>
    <row r="57">
      <c r="A57" s="15" t="s">
        <v>36</v>
      </c>
      <c r="B57" s="121"/>
      <c r="C57" s="43">
        <f>ROUND(IF(C56&lt;10,AVERAGE(C55/(1.0278-0.0278*C56),C55*C56^0.1),AVERAGE(C55*(1+0.0333*C56),C55*C56^0.1)),1)</f>
        <v>48.3</v>
      </c>
      <c r="AA57" s="120" t="s">
        <v>175</v>
      </c>
    </row>
    <row r="59">
      <c r="A59" s="102" t="s">
        <v>140</v>
      </c>
      <c r="B59" s="102"/>
      <c r="C59" s="102">
        <v>8.0</v>
      </c>
      <c r="D59" s="103" t="str">
        <f t="shared" ref="D59:AM59" si="1">IF(D4&gt;0,ROUND(IF(D$4&lt;10,AVERAGE((D$3+$C59)/(1.0278-0.0278*D$4),(D$3+$C59)*D$4^0.1),AVERAGE((D$3+$C59)*(1+0.0333*D$4),(D$3+$C59)*D$4^0.1)),1),"")</f>
        <v/>
      </c>
      <c r="E59" s="103" t="str">
        <f t="shared" si="1"/>
        <v/>
      </c>
      <c r="F59" s="103">
        <f t="shared" si="1"/>
        <v>57.3</v>
      </c>
      <c r="G59" s="103">
        <f t="shared" si="1"/>
        <v>60.3</v>
      </c>
      <c r="H59" s="103">
        <f t="shared" si="1"/>
        <v>63.3</v>
      </c>
      <c r="I59" s="103">
        <f t="shared" si="1"/>
        <v>60.4</v>
      </c>
      <c r="J59" s="103">
        <f t="shared" si="1"/>
        <v>61.8</v>
      </c>
      <c r="K59" s="103">
        <f t="shared" si="1"/>
        <v>63.2</v>
      </c>
      <c r="L59" s="103">
        <f t="shared" si="1"/>
        <v>64.6</v>
      </c>
      <c r="M59" s="103">
        <f t="shared" si="1"/>
        <v>66</v>
      </c>
      <c r="N59" s="103">
        <f t="shared" si="1"/>
        <v>67.5</v>
      </c>
      <c r="O59" s="103">
        <f t="shared" si="1"/>
        <v>68.9</v>
      </c>
      <c r="P59" s="103">
        <f t="shared" si="1"/>
        <v>70.3</v>
      </c>
      <c r="Q59" s="103">
        <f t="shared" si="1"/>
        <v>68.4</v>
      </c>
      <c r="R59" s="103">
        <f t="shared" si="1"/>
        <v>69.7</v>
      </c>
      <c r="S59" s="103">
        <f t="shared" si="1"/>
        <v>71.1</v>
      </c>
      <c r="T59" s="103">
        <f t="shared" si="1"/>
        <v>72.4</v>
      </c>
      <c r="U59" s="103">
        <f t="shared" si="1"/>
        <v>73.7</v>
      </c>
      <c r="V59" s="103">
        <f t="shared" si="1"/>
        <v>75.1</v>
      </c>
      <c r="W59" s="103">
        <f t="shared" si="1"/>
        <v>76.4</v>
      </c>
      <c r="X59" s="103">
        <f t="shared" si="1"/>
        <v>77.8</v>
      </c>
      <c r="Y59" s="103">
        <f t="shared" si="1"/>
        <v>79</v>
      </c>
      <c r="Z59" s="103">
        <f t="shared" si="1"/>
        <v>80.3</v>
      </c>
      <c r="AA59" s="103">
        <f t="shared" si="1"/>
        <v>81.5</v>
      </c>
      <c r="AB59" s="103">
        <f t="shared" si="1"/>
        <v>81.5</v>
      </c>
      <c r="AC59" s="103">
        <f t="shared" si="1"/>
        <v>81.5</v>
      </c>
      <c r="AD59" s="103">
        <f t="shared" si="1"/>
        <v>81.5</v>
      </c>
      <c r="AE59" s="103">
        <f t="shared" si="1"/>
        <v>81.5</v>
      </c>
      <c r="AF59" s="103" t="str">
        <f t="shared" si="1"/>
        <v/>
      </c>
      <c r="AG59" s="103" t="str">
        <f t="shared" si="1"/>
        <v/>
      </c>
      <c r="AH59" s="103">
        <f t="shared" si="1"/>
        <v>72.4</v>
      </c>
      <c r="AI59" s="103">
        <f t="shared" si="1"/>
        <v>75.2</v>
      </c>
      <c r="AJ59" s="103">
        <f t="shared" si="1"/>
        <v>71.7</v>
      </c>
      <c r="AK59" s="103">
        <f t="shared" si="1"/>
        <v>77.8</v>
      </c>
      <c r="AL59" s="103">
        <f t="shared" si="1"/>
        <v>84.1</v>
      </c>
      <c r="AM59" s="103">
        <f t="shared" si="1"/>
        <v>88.1</v>
      </c>
      <c r="AN59" s="104"/>
      <c r="AO59" s="104"/>
      <c r="AP59" s="104"/>
    </row>
    <row r="60">
      <c r="A60" s="102" t="s">
        <v>154</v>
      </c>
      <c r="B60" s="102"/>
      <c r="C60" s="102">
        <v>4.6</v>
      </c>
      <c r="D60" s="103" t="str">
        <f t="shared" ref="D60:AM60" si="2">IF(D16&gt;0,ROUND(IF(D$16&lt;10,AVERAGE((D$15+$C60)/(1.0278-0.0278*D$16),(D$15+$C60)*D$16^0.1),AVERAGE((D$15+$C60)*(1+0.0333*D$16),(D$15+$C60)*D$16^0.1)),1),"")</f>
        <v/>
      </c>
      <c r="E60" s="103" t="str">
        <f t="shared" si="2"/>
        <v/>
      </c>
      <c r="F60" s="103">
        <f t="shared" si="2"/>
        <v>19.6</v>
      </c>
      <c r="G60" s="103">
        <f t="shared" si="2"/>
        <v>21.2</v>
      </c>
      <c r="H60" s="103">
        <f t="shared" si="2"/>
        <v>21.9</v>
      </c>
      <c r="I60" s="103">
        <f t="shared" si="2"/>
        <v>21.6</v>
      </c>
      <c r="J60" s="103">
        <f t="shared" si="2"/>
        <v>23.3</v>
      </c>
      <c r="K60" s="103">
        <f t="shared" si="2"/>
        <v>24</v>
      </c>
      <c r="L60" s="103">
        <f t="shared" si="2"/>
        <v>24.7</v>
      </c>
      <c r="M60" s="103">
        <f t="shared" si="2"/>
        <v>25.4</v>
      </c>
      <c r="N60" s="103">
        <f t="shared" si="2"/>
        <v>26.1</v>
      </c>
      <c r="O60" s="103">
        <f t="shared" si="2"/>
        <v>26.1</v>
      </c>
      <c r="P60" s="103">
        <f t="shared" si="2"/>
        <v>26.1</v>
      </c>
      <c r="Q60" s="103">
        <f t="shared" si="2"/>
        <v>26.1</v>
      </c>
      <c r="R60" s="103">
        <f t="shared" si="2"/>
        <v>25.6</v>
      </c>
      <c r="S60" s="103">
        <f t="shared" si="2"/>
        <v>26.3</v>
      </c>
      <c r="T60" s="103">
        <f t="shared" si="2"/>
        <v>26.3</v>
      </c>
      <c r="U60" s="103">
        <f t="shared" si="2"/>
        <v>26.3</v>
      </c>
      <c r="V60" s="103">
        <f t="shared" si="2"/>
        <v>26.3</v>
      </c>
      <c r="W60" s="103">
        <f t="shared" si="2"/>
        <v>26.3</v>
      </c>
      <c r="X60" s="103">
        <f t="shared" si="2"/>
        <v>26.3</v>
      </c>
      <c r="Y60" s="103">
        <f t="shared" si="2"/>
        <v>26.3</v>
      </c>
      <c r="Z60" s="103">
        <f t="shared" si="2"/>
        <v>26.3</v>
      </c>
      <c r="AA60" s="103">
        <f t="shared" si="2"/>
        <v>26.7</v>
      </c>
      <c r="AB60" s="103" t="str">
        <f t="shared" si="2"/>
        <v/>
      </c>
      <c r="AC60" s="103">
        <f t="shared" si="2"/>
        <v>26.3</v>
      </c>
      <c r="AD60" s="103">
        <f t="shared" si="2"/>
        <v>26.3</v>
      </c>
      <c r="AE60" s="103" t="str">
        <f t="shared" si="2"/>
        <v/>
      </c>
      <c r="AF60" s="103" t="str">
        <f t="shared" si="2"/>
        <v/>
      </c>
      <c r="AG60" s="103" t="str">
        <f t="shared" si="2"/>
        <v/>
      </c>
      <c r="AH60" s="103" t="str">
        <f t="shared" si="2"/>
        <v/>
      </c>
      <c r="AI60" s="103" t="str">
        <f t="shared" si="2"/>
        <v/>
      </c>
      <c r="AJ60" s="103" t="str">
        <f t="shared" si="2"/>
        <v/>
      </c>
      <c r="AK60" s="103" t="str">
        <f t="shared" si="2"/>
        <v/>
      </c>
      <c r="AL60" s="103" t="str">
        <f t="shared" si="2"/>
        <v/>
      </c>
      <c r="AM60" s="103" t="str">
        <f t="shared" si="2"/>
        <v/>
      </c>
      <c r="AN60" s="104"/>
      <c r="AO60" s="104"/>
      <c r="AP60" s="104"/>
    </row>
    <row r="61">
      <c r="A61" s="102" t="s">
        <v>141</v>
      </c>
      <c r="B61" s="102"/>
      <c r="C61" s="102"/>
      <c r="D61" s="103" t="str">
        <f t="shared" ref="D61:AM61" si="3">IF(D26&gt;0,"+","")</f>
        <v/>
      </c>
      <c r="E61" s="103" t="str">
        <f t="shared" si="3"/>
        <v/>
      </c>
      <c r="F61" s="103" t="str">
        <f t="shared" si="3"/>
        <v/>
      </c>
      <c r="G61" s="103" t="str">
        <f t="shared" si="3"/>
        <v/>
      </c>
      <c r="H61" s="103" t="str">
        <f t="shared" si="3"/>
        <v/>
      </c>
      <c r="I61" s="103" t="str">
        <f t="shared" si="3"/>
        <v/>
      </c>
      <c r="J61" s="103" t="str">
        <f t="shared" si="3"/>
        <v/>
      </c>
      <c r="K61" s="103" t="str">
        <f t="shared" si="3"/>
        <v>+</v>
      </c>
      <c r="L61" s="103" t="str">
        <f t="shared" si="3"/>
        <v>+</v>
      </c>
      <c r="M61" s="103" t="str">
        <f t="shared" si="3"/>
        <v>+</v>
      </c>
      <c r="N61" s="103" t="str">
        <f t="shared" si="3"/>
        <v/>
      </c>
      <c r="O61" s="103" t="str">
        <f t="shared" si="3"/>
        <v>+</v>
      </c>
      <c r="P61" s="103" t="str">
        <f t="shared" si="3"/>
        <v>+</v>
      </c>
      <c r="Q61" s="103" t="str">
        <f t="shared" si="3"/>
        <v>+</v>
      </c>
      <c r="R61" s="103" t="str">
        <f t="shared" si="3"/>
        <v>+</v>
      </c>
      <c r="S61" s="103" t="str">
        <f t="shared" si="3"/>
        <v>+</v>
      </c>
      <c r="T61" s="103" t="str">
        <f t="shared" si="3"/>
        <v>+</v>
      </c>
      <c r="U61" s="103" t="str">
        <f t="shared" si="3"/>
        <v>+</v>
      </c>
      <c r="V61" s="103" t="str">
        <f t="shared" si="3"/>
        <v>+</v>
      </c>
      <c r="W61" s="103" t="str">
        <f t="shared" si="3"/>
        <v>+</v>
      </c>
      <c r="X61" s="103" t="str">
        <f t="shared" si="3"/>
        <v>+</v>
      </c>
      <c r="Y61" s="103" t="str">
        <f t="shared" si="3"/>
        <v>+</v>
      </c>
      <c r="Z61" s="103" t="str">
        <f t="shared" si="3"/>
        <v>+</v>
      </c>
      <c r="AA61" s="103" t="str">
        <f t="shared" si="3"/>
        <v>+</v>
      </c>
      <c r="AB61" s="103" t="str">
        <f t="shared" si="3"/>
        <v>+</v>
      </c>
      <c r="AC61" s="103" t="str">
        <f t="shared" si="3"/>
        <v>+</v>
      </c>
      <c r="AD61" s="103" t="str">
        <f t="shared" si="3"/>
        <v>+</v>
      </c>
      <c r="AE61" s="103" t="str">
        <f t="shared" si="3"/>
        <v>+</v>
      </c>
      <c r="AF61" s="103" t="str">
        <f t="shared" si="3"/>
        <v>+</v>
      </c>
      <c r="AG61" s="103" t="str">
        <f t="shared" si="3"/>
        <v/>
      </c>
      <c r="AH61" s="103" t="str">
        <f t="shared" si="3"/>
        <v>+</v>
      </c>
      <c r="AI61" s="103" t="str">
        <f t="shared" si="3"/>
        <v>+</v>
      </c>
      <c r="AJ61" s="103" t="str">
        <f t="shared" si="3"/>
        <v>+</v>
      </c>
      <c r="AK61" s="103" t="str">
        <f t="shared" si="3"/>
        <v>+</v>
      </c>
      <c r="AL61" s="103" t="str">
        <f t="shared" si="3"/>
        <v>+</v>
      </c>
      <c r="AM61" s="103" t="str">
        <f t="shared" si="3"/>
        <v>+</v>
      </c>
      <c r="AN61" s="104"/>
      <c r="AO61" s="104"/>
      <c r="AP61" s="104"/>
    </row>
    <row r="62">
      <c r="A62" s="102" t="s">
        <v>49</v>
      </c>
      <c r="B62" s="102"/>
      <c r="C62" s="102">
        <v>8.0</v>
      </c>
      <c r="D62" s="105">
        <f t="shared" ref="D62:AM62" si="4">IF(D30&gt;0,ROUND(IF(D$30&lt;10,AVERAGE((D$29+$C62)/(1.0278-0.0278*D$30),(D$29+$C62)*D$30^0.1),AVERAGE((D$29+$C62)*(1+0.0333*D$30),(D$29+$C62)*D$30^0.1)),1),"")</f>
        <v>36.3</v>
      </c>
      <c r="E62" s="105">
        <f t="shared" si="4"/>
        <v>37.6</v>
      </c>
      <c r="F62" s="105">
        <f t="shared" si="4"/>
        <v>38.9</v>
      </c>
      <c r="G62" s="105">
        <f t="shared" si="4"/>
        <v>40.2</v>
      </c>
      <c r="H62" s="105">
        <f t="shared" si="4"/>
        <v>41.5</v>
      </c>
      <c r="I62" s="105">
        <f t="shared" si="4"/>
        <v>42.8</v>
      </c>
      <c r="J62" s="105">
        <f t="shared" si="4"/>
        <v>44.1</v>
      </c>
      <c r="K62" s="105">
        <f t="shared" si="4"/>
        <v>45.4</v>
      </c>
      <c r="L62" s="105">
        <f t="shared" si="4"/>
        <v>46.7</v>
      </c>
      <c r="M62" s="105">
        <f t="shared" si="4"/>
        <v>48</v>
      </c>
      <c r="N62" s="105">
        <f t="shared" si="4"/>
        <v>49.2</v>
      </c>
      <c r="O62" s="105">
        <f t="shared" si="4"/>
        <v>50.1</v>
      </c>
      <c r="P62" s="105">
        <f t="shared" si="4"/>
        <v>51</v>
      </c>
      <c r="Q62" s="105">
        <f t="shared" si="4"/>
        <v>51.8</v>
      </c>
      <c r="R62" s="105">
        <f t="shared" si="4"/>
        <v>52.6</v>
      </c>
      <c r="S62" s="105">
        <f t="shared" si="4"/>
        <v>59</v>
      </c>
      <c r="T62" s="105">
        <f t="shared" si="4"/>
        <v>57.7</v>
      </c>
      <c r="U62" s="106">
        <f t="shared" si="4"/>
        <v>59</v>
      </c>
      <c r="V62" s="105" t="str">
        <f t="shared" si="4"/>
        <v/>
      </c>
      <c r="W62" s="105">
        <f t="shared" si="4"/>
        <v>51</v>
      </c>
      <c r="X62" s="105">
        <f t="shared" si="4"/>
        <v>50.5</v>
      </c>
      <c r="Y62" s="105">
        <f t="shared" si="4"/>
        <v>52.3</v>
      </c>
      <c r="Z62" s="105" t="str">
        <f t="shared" si="4"/>
        <v/>
      </c>
      <c r="AA62" s="105">
        <f t="shared" si="4"/>
        <v>51.9</v>
      </c>
      <c r="AB62" s="105">
        <f t="shared" si="4"/>
        <v>53.2</v>
      </c>
      <c r="AC62" s="105">
        <f t="shared" si="4"/>
        <v>54.4</v>
      </c>
      <c r="AD62" s="105">
        <f t="shared" si="4"/>
        <v>55.6</v>
      </c>
      <c r="AE62" s="105">
        <f t="shared" si="4"/>
        <v>56.9</v>
      </c>
      <c r="AF62" s="105">
        <f t="shared" si="4"/>
        <v>58.1</v>
      </c>
      <c r="AG62" s="105">
        <f t="shared" si="4"/>
        <v>59.3</v>
      </c>
      <c r="AH62" s="105">
        <f t="shared" si="4"/>
        <v>60.6</v>
      </c>
      <c r="AI62" s="105">
        <f t="shared" si="4"/>
        <v>61.8</v>
      </c>
      <c r="AJ62" s="105">
        <f t="shared" si="4"/>
        <v>58.9</v>
      </c>
      <c r="AK62" s="105">
        <f t="shared" si="4"/>
        <v>61.8</v>
      </c>
      <c r="AL62" s="105">
        <f t="shared" si="4"/>
        <v>63.1</v>
      </c>
      <c r="AM62" s="105">
        <f t="shared" si="4"/>
        <v>49.2</v>
      </c>
      <c r="AN62" s="104"/>
      <c r="AO62" s="104"/>
      <c r="AP62" s="104"/>
    </row>
    <row r="63">
      <c r="A63" s="102" t="s">
        <v>155</v>
      </c>
      <c r="B63" s="107"/>
      <c r="C63" s="107"/>
      <c r="D63" s="103">
        <f t="shared" ref="D63:AM63" si="5">IF(D42&gt;0,ROUND(IF(D$42&lt;10,AVERAGE(D$41/(1.0278-0.0278*D$42),D$41*D$42^0.1),AVERAGE(D$41*(1+0.0333*D$42),D$41*D$42^0.1)),2),"")</f>
        <v>6.48</v>
      </c>
      <c r="E63" s="103">
        <f t="shared" si="5"/>
        <v>6.59</v>
      </c>
      <c r="F63" s="103">
        <f t="shared" si="5"/>
        <v>6.7</v>
      </c>
      <c r="G63" s="103">
        <f t="shared" si="5"/>
        <v>6.81</v>
      </c>
      <c r="H63" s="103">
        <f t="shared" si="5"/>
        <v>6.92</v>
      </c>
      <c r="I63" s="103">
        <f t="shared" si="5"/>
        <v>7.03</v>
      </c>
      <c r="J63" s="103">
        <f t="shared" si="5"/>
        <v>7.13</v>
      </c>
      <c r="K63" s="103">
        <f t="shared" si="5"/>
        <v>7.23</v>
      </c>
      <c r="L63" s="103">
        <f t="shared" si="5"/>
        <v>7.34</v>
      </c>
      <c r="M63" s="103">
        <f t="shared" si="5"/>
        <v>7.44</v>
      </c>
      <c r="N63" s="103">
        <f t="shared" si="5"/>
        <v>7.54</v>
      </c>
      <c r="O63" s="103">
        <f t="shared" si="5"/>
        <v>7.37</v>
      </c>
      <c r="P63" s="103">
        <f t="shared" si="5"/>
        <v>7.49</v>
      </c>
      <c r="Q63" s="103">
        <f t="shared" si="5"/>
        <v>7.61</v>
      </c>
      <c r="R63" s="103">
        <f t="shared" si="5"/>
        <v>7.73</v>
      </c>
      <c r="S63" s="103">
        <f t="shared" si="5"/>
        <v>7.84</v>
      </c>
      <c r="T63" s="103">
        <f t="shared" si="5"/>
        <v>8.05</v>
      </c>
      <c r="U63" s="103">
        <f t="shared" si="5"/>
        <v>8.18</v>
      </c>
      <c r="V63" s="103">
        <f t="shared" si="5"/>
        <v>8.3</v>
      </c>
      <c r="W63" s="103">
        <f t="shared" si="5"/>
        <v>8.43</v>
      </c>
      <c r="X63" s="103">
        <f t="shared" si="5"/>
        <v>8.68</v>
      </c>
      <c r="Y63" s="103">
        <f t="shared" si="5"/>
        <v>8.72</v>
      </c>
      <c r="Z63" s="103">
        <f t="shared" si="5"/>
        <v>8.86</v>
      </c>
      <c r="AA63" s="103">
        <f t="shared" si="5"/>
        <v>9</v>
      </c>
      <c r="AB63" s="103">
        <f t="shared" si="5"/>
        <v>9.13</v>
      </c>
      <c r="AC63" s="103">
        <f t="shared" si="5"/>
        <v>9.27</v>
      </c>
      <c r="AD63" s="103">
        <f t="shared" si="5"/>
        <v>9.4</v>
      </c>
      <c r="AE63" s="103">
        <f t="shared" si="5"/>
        <v>9.54</v>
      </c>
      <c r="AF63" s="103">
        <f t="shared" si="5"/>
        <v>9.67</v>
      </c>
      <c r="AG63" s="103" t="str">
        <f t="shared" si="5"/>
        <v/>
      </c>
      <c r="AH63" s="103">
        <f t="shared" si="5"/>
        <v>9.8</v>
      </c>
      <c r="AI63" s="103">
        <f t="shared" si="5"/>
        <v>9.07</v>
      </c>
      <c r="AJ63" s="103" t="str">
        <f t="shared" si="5"/>
        <v/>
      </c>
      <c r="AK63" s="103" t="str">
        <f t="shared" si="5"/>
        <v/>
      </c>
      <c r="AL63" s="103">
        <f t="shared" si="5"/>
        <v>9.39</v>
      </c>
      <c r="AM63" s="103">
        <f t="shared" si="5"/>
        <v>7.03</v>
      </c>
      <c r="AN63" s="104"/>
      <c r="AO63" s="104"/>
      <c r="AP63" s="104"/>
    </row>
    <row r="64">
      <c r="A64" s="102" t="s">
        <v>156</v>
      </c>
      <c r="B64" s="107"/>
      <c r="C64" s="107"/>
      <c r="D64" s="103">
        <f t="shared" ref="D64:AM64" si="6">IF(D46&gt;0,ROUND(IF(D$46&lt;10,AVERAGE(D$45/(1.0278-0.0278*D$46),D$45*D$46^0.1),AVERAGE(D$45*(1+0.0333*D$46),D$45*D$46^0.1)),2),"")</f>
        <v>7.03</v>
      </c>
      <c r="E64" s="103">
        <f t="shared" si="6"/>
        <v>7.13</v>
      </c>
      <c r="F64" s="103">
        <f t="shared" si="6"/>
        <v>7.13</v>
      </c>
      <c r="G64" s="103">
        <f t="shared" si="6"/>
        <v>7.13</v>
      </c>
      <c r="H64" s="103">
        <f t="shared" si="6"/>
        <v>7.23</v>
      </c>
      <c r="I64" s="103">
        <f t="shared" si="6"/>
        <v>7.03</v>
      </c>
      <c r="J64" s="103">
        <f t="shared" si="6"/>
        <v>7.23</v>
      </c>
      <c r="K64" s="103">
        <f t="shared" si="6"/>
        <v>7.23</v>
      </c>
      <c r="L64" s="103">
        <f t="shared" si="6"/>
        <v>7.34</v>
      </c>
      <c r="M64" s="103">
        <f t="shared" si="6"/>
        <v>7.34</v>
      </c>
      <c r="N64" s="103">
        <f t="shared" si="6"/>
        <v>7.34</v>
      </c>
      <c r="O64" s="103">
        <f t="shared" si="6"/>
        <v>7.78</v>
      </c>
      <c r="P64" s="103">
        <f t="shared" si="6"/>
        <v>7.91</v>
      </c>
      <c r="Q64" s="103">
        <f t="shared" si="6"/>
        <v>8.05</v>
      </c>
      <c r="R64" s="103">
        <f t="shared" si="6"/>
        <v>8.18</v>
      </c>
      <c r="S64" s="103">
        <f t="shared" si="6"/>
        <v>8.18</v>
      </c>
      <c r="T64" s="103">
        <f t="shared" si="6"/>
        <v>8.3</v>
      </c>
      <c r="U64" s="103">
        <f t="shared" si="6"/>
        <v>8.3</v>
      </c>
      <c r="V64" s="103">
        <f t="shared" si="6"/>
        <v>8.3</v>
      </c>
      <c r="W64" s="103">
        <f t="shared" si="6"/>
        <v>8.43</v>
      </c>
      <c r="X64" s="103">
        <f t="shared" si="6"/>
        <v>8.43</v>
      </c>
      <c r="Y64" s="103">
        <f t="shared" si="6"/>
        <v>8.42</v>
      </c>
      <c r="Z64" s="103">
        <f t="shared" si="6"/>
        <v>8.57</v>
      </c>
      <c r="AA64" s="103">
        <f t="shared" si="6"/>
        <v>8.57</v>
      </c>
      <c r="AB64" s="103">
        <f t="shared" si="6"/>
        <v>8.72</v>
      </c>
      <c r="AC64" s="103">
        <f t="shared" si="6"/>
        <v>8.86</v>
      </c>
      <c r="AD64" s="103">
        <f t="shared" si="6"/>
        <v>8.86</v>
      </c>
      <c r="AE64" s="103">
        <f t="shared" si="6"/>
        <v>9</v>
      </c>
      <c r="AF64" s="103" t="str">
        <f t="shared" si="6"/>
        <v/>
      </c>
      <c r="AG64" s="103" t="str">
        <f t="shared" si="6"/>
        <v/>
      </c>
      <c r="AH64" s="103">
        <f t="shared" si="6"/>
        <v>9.13</v>
      </c>
      <c r="AI64" s="103">
        <f t="shared" si="6"/>
        <v>8.65</v>
      </c>
      <c r="AJ64" s="103" t="str">
        <f t="shared" si="6"/>
        <v/>
      </c>
      <c r="AK64" s="103" t="str">
        <f t="shared" si="6"/>
        <v/>
      </c>
      <c r="AL64" s="103">
        <f t="shared" si="6"/>
        <v>8.65</v>
      </c>
      <c r="AM64" s="103">
        <f t="shared" si="6"/>
        <v>7.03</v>
      </c>
      <c r="AN64" s="104"/>
      <c r="AO64" s="104"/>
      <c r="AP64" s="104"/>
    </row>
    <row r="65">
      <c r="A65" s="102" t="s">
        <v>157</v>
      </c>
      <c r="B65" s="107"/>
      <c r="C65" s="107"/>
      <c r="D65" s="103">
        <f t="shared" ref="D65:AM65" si="7">IF(D50&gt;0,ROUND(IF(D$50&lt;10,AVERAGE(D$49/(1.0278-0.0278*D$50),D$49*D$50^0.1),AVERAGE(D$49*(1+0.0333*D$50),D$49*D$50^0.1)),2),"")</f>
        <v>14.05</v>
      </c>
      <c r="E65" s="103">
        <f t="shared" si="7"/>
        <v>14.26</v>
      </c>
      <c r="F65" s="103">
        <f t="shared" si="7"/>
        <v>14.26</v>
      </c>
      <c r="G65" s="103">
        <f t="shared" si="7"/>
        <v>14.26</v>
      </c>
      <c r="H65" s="103">
        <f t="shared" si="7"/>
        <v>14.26</v>
      </c>
      <c r="I65" s="103">
        <f t="shared" si="7"/>
        <v>14.05</v>
      </c>
      <c r="J65" s="103">
        <f t="shared" si="7"/>
        <v>14.47</v>
      </c>
      <c r="K65" s="103">
        <f t="shared" si="7"/>
        <v>14.67</v>
      </c>
      <c r="L65" s="103">
        <f t="shared" si="7"/>
        <v>15.46</v>
      </c>
      <c r="M65" s="103">
        <f t="shared" si="7"/>
        <v>15.69</v>
      </c>
      <c r="N65" s="103">
        <f t="shared" si="7"/>
        <v>15.91</v>
      </c>
      <c r="O65" s="103">
        <f t="shared" si="7"/>
        <v>16.14</v>
      </c>
      <c r="P65" s="103">
        <f t="shared" si="7"/>
        <v>16.09</v>
      </c>
      <c r="Q65" s="103">
        <f t="shared" si="7"/>
        <v>16.35</v>
      </c>
      <c r="R65" s="103">
        <f t="shared" si="7"/>
        <v>16.61</v>
      </c>
      <c r="S65" s="103">
        <f t="shared" si="7"/>
        <v>16.86</v>
      </c>
      <c r="T65" s="103">
        <f t="shared" si="7"/>
        <v>16.85</v>
      </c>
      <c r="U65" s="103">
        <f t="shared" si="7"/>
        <v>17.14</v>
      </c>
      <c r="V65" s="103">
        <f t="shared" si="7"/>
        <v>17.43</v>
      </c>
      <c r="W65" s="103">
        <f t="shared" si="7"/>
        <v>17.71</v>
      </c>
      <c r="X65" s="103">
        <f t="shared" si="7"/>
        <v>17.99</v>
      </c>
      <c r="Y65" s="103">
        <f t="shared" si="7"/>
        <v>18.27</v>
      </c>
      <c r="Z65" s="103">
        <f t="shared" si="7"/>
        <v>18.27</v>
      </c>
      <c r="AA65" s="103">
        <f t="shared" si="7"/>
        <v>18.27</v>
      </c>
      <c r="AB65" s="103">
        <f t="shared" si="7"/>
        <v>19.44</v>
      </c>
      <c r="AC65" s="103">
        <f t="shared" si="7"/>
        <v>19.78</v>
      </c>
      <c r="AD65" s="103">
        <f t="shared" si="7"/>
        <v>18.14</v>
      </c>
      <c r="AE65" s="103">
        <f t="shared" si="7"/>
        <v>18.14</v>
      </c>
      <c r="AF65" s="103" t="str">
        <f t="shared" si="7"/>
        <v/>
      </c>
      <c r="AG65" s="103" t="str">
        <f t="shared" si="7"/>
        <v/>
      </c>
      <c r="AH65" s="103">
        <f t="shared" si="7"/>
        <v>16.85</v>
      </c>
      <c r="AI65" s="103">
        <f t="shared" si="7"/>
        <v>17.43</v>
      </c>
      <c r="AJ65" s="103" t="str">
        <f t="shared" si="7"/>
        <v/>
      </c>
      <c r="AK65" s="103" t="str">
        <f t="shared" si="7"/>
        <v/>
      </c>
      <c r="AL65" s="103">
        <f t="shared" si="7"/>
        <v>16.85</v>
      </c>
      <c r="AM65" s="103">
        <f t="shared" si="7"/>
        <v>12.96</v>
      </c>
      <c r="AN65" s="104"/>
      <c r="AO65" s="104"/>
      <c r="AP65"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176</v>
      </c>
      <c r="B1" s="122" t="s">
        <v>177</v>
      </c>
      <c r="C1" s="123" t="s">
        <v>178</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179</v>
      </c>
      <c r="C2" s="126" t="s">
        <v>180</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181</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181</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181</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171</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171</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171</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182</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182</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182</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183</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183</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183</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172</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176</v>
      </c>
      <c r="B1" s="122" t="s">
        <v>184</v>
      </c>
      <c r="C1" s="123" t="s">
        <v>178</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179</v>
      </c>
      <c r="C2" s="126" t="s">
        <v>180</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185</v>
      </c>
      <c r="B13" s="100" t="s">
        <v>186</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186</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186</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187</v>
      </c>
      <c r="B25" s="100" t="s">
        <v>188</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188</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188</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189</v>
      </c>
      <c r="B31" s="100" t="s">
        <v>190</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191</v>
      </c>
      <c r="B33" s="100" t="s">
        <v>192</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193</v>
      </c>
      <c r="B35" s="100" t="s">
        <v>194</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195</v>
      </c>
      <c r="B37" s="100" t="s">
        <v>196</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196</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196</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197</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197</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197</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198</v>
      </c>
      <c r="B49" s="100" t="s">
        <v>199</v>
      </c>
      <c r="C49" s="156"/>
      <c r="D49" s="149" t="s">
        <v>200</v>
      </c>
      <c r="E49" s="149" t="s">
        <v>200</v>
      </c>
      <c r="F49" s="149" t="s">
        <v>200</v>
      </c>
      <c r="G49" s="149" t="s">
        <v>200</v>
      </c>
      <c r="H49" s="149" t="s">
        <v>200</v>
      </c>
      <c r="I49" s="149" t="s">
        <v>200</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199</v>
      </c>
      <c r="C51" s="156"/>
      <c r="D51" s="149" t="s">
        <v>200</v>
      </c>
      <c r="E51" s="149"/>
      <c r="F51" s="149" t="s">
        <v>200</v>
      </c>
      <c r="G51" s="149" t="s">
        <v>200</v>
      </c>
      <c r="H51" s="149" t="s">
        <v>200</v>
      </c>
      <c r="I51" s="149" t="s">
        <v>200</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199</v>
      </c>
      <c r="C53" s="150"/>
      <c r="D53" s="149" t="s">
        <v>200</v>
      </c>
      <c r="E53" s="149"/>
      <c r="F53" s="149" t="s">
        <v>200</v>
      </c>
      <c r="G53" s="149" t="s">
        <v>200</v>
      </c>
      <c r="H53" s="149" t="s">
        <v>200</v>
      </c>
      <c r="I53" s="149" t="s">
        <v>200</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201</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202</v>
      </c>
      <c r="B61" s="100" t="s">
        <v>183</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203</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203</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203</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204</v>
      </c>
      <c r="B69" s="100" t="s">
        <v>205</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205</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205</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205</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205</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205</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205</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205</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205</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206</v>
      </c>
      <c r="B87" s="100" t="s">
        <v>207</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207</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207</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208</v>
      </c>
      <c r="B93" s="100" t="s">
        <v>209</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209</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209</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209</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210</v>
      </c>
      <c r="B101" s="100" t="s">
        <v>211</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211</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211</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212</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213</v>
      </c>
      <c r="B113" s="100" t="s">
        <v>214</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214</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214</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172</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s>
  <sheetData>
    <row r="1">
      <c r="B1" s="3" t="s">
        <v>215</v>
      </c>
      <c r="C1" s="73"/>
      <c r="D1" s="73">
        <v>45814.0</v>
      </c>
      <c r="E1" s="73">
        <v>45815.0</v>
      </c>
      <c r="F1" s="73">
        <v>45819.0</v>
      </c>
      <c r="G1" s="73">
        <v>45822.0</v>
      </c>
      <c r="H1" s="124">
        <v>45826.0</v>
      </c>
      <c r="I1" s="146">
        <v>45829.0</v>
      </c>
      <c r="J1" s="124">
        <v>45836.0</v>
      </c>
      <c r="K1" s="146">
        <v>45843.0</v>
      </c>
      <c r="L1" s="124">
        <v>45850.0</v>
      </c>
      <c r="M1" s="124">
        <v>45916.0</v>
      </c>
      <c r="N1" s="146">
        <v>45918.0</v>
      </c>
      <c r="O1" s="116" t="s">
        <v>160</v>
      </c>
    </row>
    <row r="2">
      <c r="C2" s="3"/>
      <c r="D2" s="3">
        <v>66.9</v>
      </c>
      <c r="E2" s="3">
        <v>67.8</v>
      </c>
      <c r="F2" s="3">
        <v>66.4</v>
      </c>
      <c r="G2" s="3">
        <v>67.0</v>
      </c>
      <c r="H2" s="3">
        <v>66.1</v>
      </c>
      <c r="I2" s="3">
        <v>66.3</v>
      </c>
      <c r="J2" s="3">
        <v>66.5</v>
      </c>
      <c r="K2" s="3">
        <v>66.1</v>
      </c>
      <c r="L2" s="3">
        <v>66.4</v>
      </c>
      <c r="M2" s="3">
        <v>66.9</v>
      </c>
      <c r="N2" s="3">
        <v>66.3</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216</v>
      </c>
      <c r="D27" s="3">
        <v>5.0</v>
      </c>
      <c r="G27" s="91">
        <v>5.0</v>
      </c>
      <c r="L27" s="3">
        <v>5.0</v>
      </c>
    </row>
    <row r="28">
      <c r="D28" s="3">
        <v>10.0</v>
      </c>
      <c r="G28" s="91">
        <v>11.0</v>
      </c>
      <c r="L28" s="3">
        <v>12.0</v>
      </c>
    </row>
    <row r="29">
      <c r="B29" s="3" t="s">
        <v>216</v>
      </c>
      <c r="D29" s="3">
        <v>5.0</v>
      </c>
      <c r="G29" s="91">
        <v>5.0</v>
      </c>
      <c r="L29" s="3">
        <v>5.0</v>
      </c>
    </row>
    <row r="30">
      <c r="D30" s="3">
        <v>10.0</v>
      </c>
      <c r="G30" s="91">
        <v>11.0</v>
      </c>
      <c r="L30" s="3">
        <v>12.0</v>
      </c>
    </row>
    <row r="31">
      <c r="B31" s="3" t="s">
        <v>216</v>
      </c>
      <c r="D31" s="3">
        <v>5.0</v>
      </c>
      <c r="G31" s="91">
        <v>5.0</v>
      </c>
      <c r="L31" s="3">
        <v>5.0</v>
      </c>
    </row>
    <row r="32">
      <c r="D32" s="3">
        <v>10.0</v>
      </c>
      <c r="G32" s="91">
        <v>11.0</v>
      </c>
      <c r="L32" s="3">
        <v>12.0</v>
      </c>
    </row>
    <row r="33">
      <c r="B33" s="3" t="s">
        <v>217</v>
      </c>
      <c r="D33" s="3">
        <v>7.5</v>
      </c>
    </row>
    <row r="34">
      <c r="D34" s="3">
        <v>10.0</v>
      </c>
      <c r="Q34" s="15" t="s">
        <v>26</v>
      </c>
      <c r="R34" s="68">
        <v>85.0</v>
      </c>
    </row>
    <row r="35">
      <c r="B35" s="3" t="s">
        <v>217</v>
      </c>
      <c r="D35" s="3">
        <v>7.5</v>
      </c>
      <c r="Q35" s="15" t="s">
        <v>37</v>
      </c>
      <c r="R35" s="68">
        <v>3.0</v>
      </c>
    </row>
    <row r="36">
      <c r="D36" s="3">
        <v>10.0</v>
      </c>
      <c r="Q36" s="15" t="s">
        <v>36</v>
      </c>
      <c r="R36" s="43">
        <f>ROUND(IF(R35&lt;10,AVERAGE(R34/(1.0278-0.0278*R35),R34*R35^0.1),AVERAGE(R34*(1+0.0333*R35),R34*R35^0.1)),1)</f>
        <v>92.4</v>
      </c>
    </row>
    <row r="37">
      <c r="B37" s="3" t="s">
        <v>217</v>
      </c>
      <c r="D37" s="3">
        <v>7.5</v>
      </c>
    </row>
    <row r="38">
      <c r="D38" s="3">
        <v>10.0</v>
      </c>
    </row>
    <row r="39">
      <c r="A39" s="3" t="s">
        <v>49</v>
      </c>
      <c r="B39" s="3" t="s">
        <v>49</v>
      </c>
      <c r="C39" s="3">
        <v>8.0</v>
      </c>
      <c r="E39" s="3">
        <v>20.0</v>
      </c>
    </row>
    <row r="40">
      <c r="A40" s="3" t="s">
        <v>218</v>
      </c>
      <c r="E40" s="3">
        <v>10.0</v>
      </c>
    </row>
    <row r="41">
      <c r="B41" s="3" t="s">
        <v>49</v>
      </c>
      <c r="C41" s="3">
        <v>8.0</v>
      </c>
      <c r="E41" s="3">
        <v>20.0</v>
      </c>
    </row>
    <row r="42">
      <c r="A42" s="3" t="s">
        <v>219</v>
      </c>
      <c r="E42" s="3">
        <v>10.0</v>
      </c>
    </row>
    <row r="43">
      <c r="B43" s="3" t="s">
        <v>169</v>
      </c>
      <c r="C43" s="3">
        <v>8.0</v>
      </c>
      <c r="E43" s="3">
        <v>20.0</v>
      </c>
    </row>
    <row r="44">
      <c r="E44" s="3">
        <v>3.0</v>
      </c>
    </row>
    <row r="45">
      <c r="B45" s="3" t="s">
        <v>169</v>
      </c>
      <c r="C45" s="3">
        <v>8.0</v>
      </c>
      <c r="E45" s="3">
        <v>20.0</v>
      </c>
    </row>
    <row r="46">
      <c r="E46" s="3">
        <v>2.0</v>
      </c>
    </row>
    <row r="47">
      <c r="B47" s="3" t="s">
        <v>171</v>
      </c>
      <c r="E47" s="3"/>
      <c r="G47" s="169">
        <v>7.5</v>
      </c>
    </row>
    <row r="48">
      <c r="B48" s="3"/>
      <c r="E48" s="3"/>
      <c r="G48" s="169">
        <v>5.0</v>
      </c>
    </row>
    <row r="49">
      <c r="B49" s="3" t="s">
        <v>171</v>
      </c>
      <c r="E49" s="3"/>
      <c r="G49" s="169">
        <v>7.5</v>
      </c>
    </row>
    <row r="50">
      <c r="B50" s="3"/>
      <c r="E50" s="3"/>
      <c r="G50" s="169">
        <v>5.0</v>
      </c>
    </row>
    <row r="51">
      <c r="B51" s="3" t="s">
        <v>171</v>
      </c>
      <c r="E51" s="3"/>
      <c r="G51" s="169">
        <v>7.5</v>
      </c>
    </row>
    <row r="52">
      <c r="B52" s="3"/>
      <c r="E52" s="3"/>
      <c r="G52" s="169">
        <v>5.0</v>
      </c>
    </row>
    <row r="53">
      <c r="B53" s="3" t="s">
        <v>220</v>
      </c>
      <c r="E53" s="3">
        <v>12.0</v>
      </c>
      <c r="G53" s="169">
        <v>17.5</v>
      </c>
      <c r="H53" s="3">
        <v>22.0</v>
      </c>
    </row>
    <row r="54">
      <c r="E54" s="3">
        <v>20.0</v>
      </c>
      <c r="G54" s="169">
        <v>20.0</v>
      </c>
      <c r="H54" s="3">
        <v>15.0</v>
      </c>
    </row>
    <row r="55">
      <c r="B55" s="3" t="s">
        <v>220</v>
      </c>
      <c r="E55" s="3">
        <v>12.0</v>
      </c>
      <c r="G55" s="169">
        <v>17.5</v>
      </c>
      <c r="H55" s="3">
        <v>22.0</v>
      </c>
    </row>
    <row r="56">
      <c r="E56" s="3">
        <v>20.0</v>
      </c>
      <c r="G56" s="169">
        <v>20.0</v>
      </c>
      <c r="H56" s="3">
        <v>15.0</v>
      </c>
    </row>
    <row r="57">
      <c r="B57" s="3" t="s">
        <v>220</v>
      </c>
      <c r="E57" s="3">
        <v>12.0</v>
      </c>
      <c r="G57" s="169">
        <v>17.5</v>
      </c>
      <c r="H57" s="3">
        <v>22.0</v>
      </c>
    </row>
    <row r="58">
      <c r="E58" s="3">
        <v>20.0</v>
      </c>
      <c r="G58" s="169">
        <v>20.0</v>
      </c>
      <c r="H58" s="3">
        <v>15.0</v>
      </c>
    </row>
    <row r="59">
      <c r="B59" s="3" t="s">
        <v>220</v>
      </c>
      <c r="E59" s="3">
        <v>12.0</v>
      </c>
    </row>
    <row r="60">
      <c r="E60" s="3">
        <v>20.0</v>
      </c>
    </row>
    <row r="61">
      <c r="B61" s="3" t="s">
        <v>220</v>
      </c>
      <c r="E61" s="3">
        <v>12.0</v>
      </c>
    </row>
    <row r="62">
      <c r="E62" s="3">
        <v>20.0</v>
      </c>
    </row>
    <row r="63">
      <c r="B63" s="3" t="s">
        <v>220</v>
      </c>
      <c r="E63" s="3">
        <v>12.0</v>
      </c>
    </row>
    <row r="64">
      <c r="E64" s="3">
        <v>20.0</v>
      </c>
    </row>
    <row r="65">
      <c r="A65" s="3"/>
      <c r="B65" s="3" t="s">
        <v>157</v>
      </c>
      <c r="C65" s="3"/>
      <c r="F65" s="3"/>
      <c r="G65" s="169"/>
      <c r="H65" s="3"/>
      <c r="I65" s="3">
        <v>16.0</v>
      </c>
      <c r="J65" s="3"/>
      <c r="K65" s="3"/>
    </row>
    <row r="66">
      <c r="A66" s="3"/>
      <c r="B66" s="3"/>
      <c r="C66" s="3"/>
      <c r="F66" s="3"/>
      <c r="G66" s="169"/>
      <c r="H66" s="3"/>
      <c r="I66" s="3">
        <v>13.0</v>
      </c>
      <c r="J66" s="3"/>
      <c r="K66" s="3"/>
    </row>
    <row r="67">
      <c r="A67" s="3"/>
      <c r="B67" s="3" t="s">
        <v>157</v>
      </c>
      <c r="C67" s="3"/>
      <c r="F67" s="3"/>
      <c r="G67" s="169"/>
      <c r="H67" s="3"/>
      <c r="I67" s="3">
        <v>17.0</v>
      </c>
      <c r="J67" s="3"/>
      <c r="K67" s="3"/>
    </row>
    <row r="68">
      <c r="A68" s="3"/>
      <c r="B68" s="3"/>
      <c r="C68" s="3"/>
      <c r="F68" s="3"/>
      <c r="G68" s="169"/>
      <c r="H68" s="3"/>
      <c r="I68" s="3">
        <v>8.0</v>
      </c>
      <c r="J68" s="3"/>
      <c r="K68" s="3"/>
    </row>
    <row r="69">
      <c r="A69" s="3"/>
      <c r="B69" s="3" t="s">
        <v>157</v>
      </c>
      <c r="C69" s="3"/>
      <c r="F69" s="3"/>
      <c r="G69" s="169"/>
      <c r="H69" s="3"/>
      <c r="I69" s="3">
        <v>15.0</v>
      </c>
      <c r="J69" s="3"/>
      <c r="K69" s="3"/>
    </row>
    <row r="70">
      <c r="A70" s="3"/>
      <c r="B70" s="3"/>
      <c r="C70" s="3"/>
      <c r="F70" s="3"/>
      <c r="G70" s="169"/>
      <c r="H70" s="3"/>
      <c r="I70" s="3">
        <v>17.0</v>
      </c>
      <c r="J70" s="3"/>
      <c r="K70" s="3"/>
      <c r="S70" s="15" t="s">
        <v>26</v>
      </c>
      <c r="T70" s="68">
        <v>24.1</v>
      </c>
    </row>
    <row r="71">
      <c r="A71" s="3" t="s">
        <v>208</v>
      </c>
      <c r="B71" s="3" t="s">
        <v>209</v>
      </c>
      <c r="C71" s="3">
        <v>6.2</v>
      </c>
      <c r="F71" s="3">
        <v>18.0</v>
      </c>
      <c r="G71" s="169">
        <v>18.0</v>
      </c>
      <c r="H71" s="3">
        <v>18.0</v>
      </c>
      <c r="I71" s="3">
        <v>20.0</v>
      </c>
      <c r="J71" s="3">
        <v>19.0</v>
      </c>
      <c r="K71" s="3">
        <v>19.5</v>
      </c>
      <c r="L71" s="3">
        <v>21.0</v>
      </c>
      <c r="M71" s="3"/>
      <c r="S71" s="15" t="s">
        <v>37</v>
      </c>
      <c r="T71" s="68">
        <v>14.0</v>
      </c>
    </row>
    <row r="72">
      <c r="F72" s="3">
        <v>10.0</v>
      </c>
      <c r="G72" s="169">
        <v>11.0</v>
      </c>
      <c r="H72" s="3">
        <v>12.0</v>
      </c>
      <c r="I72" s="3">
        <v>10.0</v>
      </c>
      <c r="J72" s="3">
        <v>13.0</v>
      </c>
      <c r="K72" s="3">
        <v>13.0</v>
      </c>
      <c r="L72" s="3">
        <v>8.0</v>
      </c>
      <c r="M72" s="3"/>
      <c r="S72" s="15" t="s">
        <v>36</v>
      </c>
      <c r="T72" s="43">
        <f>ROUND(IF(T71&lt;10,AVERAGE(T70/(1.0278-0.0278*T71),T70*T71^0.1),AVERAGE(T70*(1+0.0333*T71),T70*T71^0.1)),1)</f>
        <v>33.4</v>
      </c>
    </row>
    <row r="73">
      <c r="B73" s="3" t="s">
        <v>209</v>
      </c>
      <c r="C73" s="3">
        <v>6.2</v>
      </c>
      <c r="F73" s="3">
        <v>18.0</v>
      </c>
      <c r="G73" s="169">
        <v>18.0</v>
      </c>
      <c r="H73" s="3">
        <v>18.0</v>
      </c>
      <c r="I73" s="3">
        <v>22.0</v>
      </c>
      <c r="J73" s="3">
        <v>21.0</v>
      </c>
      <c r="K73" s="3">
        <v>21.5</v>
      </c>
      <c r="L73" s="3">
        <v>21.0</v>
      </c>
    </row>
    <row r="74">
      <c r="F74" s="3">
        <v>10.0</v>
      </c>
      <c r="G74" s="169">
        <v>11.0</v>
      </c>
      <c r="H74" s="3">
        <v>12.0</v>
      </c>
      <c r="I74" s="3">
        <v>8.0</v>
      </c>
      <c r="J74" s="3">
        <v>9.0</v>
      </c>
      <c r="K74" s="3">
        <v>11.0</v>
      </c>
      <c r="L74" s="3">
        <v>8.0</v>
      </c>
      <c r="S74" s="15" t="s">
        <v>26</v>
      </c>
      <c r="T74" s="68">
        <v>28.1</v>
      </c>
    </row>
    <row r="75">
      <c r="B75" s="3" t="s">
        <v>209</v>
      </c>
      <c r="C75" s="3">
        <v>6.2</v>
      </c>
      <c r="F75" s="3">
        <v>18.0</v>
      </c>
      <c r="G75" s="169">
        <v>18.0</v>
      </c>
      <c r="H75" s="3">
        <v>18.0</v>
      </c>
      <c r="I75" s="3">
        <v>18.0</v>
      </c>
      <c r="J75" s="3">
        <v>17.0</v>
      </c>
      <c r="K75" s="3">
        <v>17.5</v>
      </c>
      <c r="L75" s="3">
        <v>21.0</v>
      </c>
      <c r="S75" s="15" t="s">
        <v>37</v>
      </c>
      <c r="T75" s="68">
        <v>9.0</v>
      </c>
    </row>
    <row r="76">
      <c r="F76" s="3">
        <v>10.0</v>
      </c>
      <c r="G76" s="169">
        <v>11.0</v>
      </c>
      <c r="H76" s="3">
        <v>12.0</v>
      </c>
      <c r="I76" s="3">
        <v>12.0</v>
      </c>
      <c r="J76" s="3">
        <v>16.0</v>
      </c>
      <c r="K76" s="3">
        <v>16.0</v>
      </c>
      <c r="L76" s="3">
        <v>8.0</v>
      </c>
      <c r="S76" s="15" t="s">
        <v>36</v>
      </c>
      <c r="T76" s="43">
        <f>ROUND(IF(T75&lt;10,AVERAGE(T74/(1.0278-0.0278*T75),T74*T75^0.1),AVERAGE(T74*(1+0.0333*T75),T74*T75^0.1)),1)</f>
        <v>35.6</v>
      </c>
    </row>
    <row r="77">
      <c r="A77" s="3" t="s">
        <v>221</v>
      </c>
      <c r="B77" s="3" t="s">
        <v>211</v>
      </c>
      <c r="C77" s="3">
        <v>4.6</v>
      </c>
      <c r="F77" s="3">
        <v>15.0</v>
      </c>
      <c r="G77" s="169">
        <v>16.0</v>
      </c>
      <c r="H77" s="3">
        <v>16.0</v>
      </c>
      <c r="I77" s="3">
        <v>20.0</v>
      </c>
      <c r="J77" s="3">
        <v>21.0</v>
      </c>
      <c r="K77" s="3">
        <v>21.5</v>
      </c>
      <c r="L77" s="3">
        <v>22.0</v>
      </c>
      <c r="M77" s="3"/>
    </row>
    <row r="78">
      <c r="F78" s="3">
        <v>15.0</v>
      </c>
      <c r="G78" s="169">
        <v>15.0</v>
      </c>
      <c r="H78" s="3">
        <v>16.0</v>
      </c>
      <c r="I78" s="3">
        <v>13.0</v>
      </c>
      <c r="J78" s="3">
        <v>12.0</v>
      </c>
      <c r="K78" s="3">
        <v>11.0</v>
      </c>
      <c r="L78" s="3">
        <v>8.0</v>
      </c>
      <c r="M78" s="3"/>
    </row>
    <row r="79">
      <c r="B79" s="3" t="s">
        <v>211</v>
      </c>
      <c r="C79" s="3">
        <v>4.6</v>
      </c>
      <c r="F79" s="3">
        <v>15.0</v>
      </c>
      <c r="G79" s="169">
        <v>16.0</v>
      </c>
      <c r="H79" s="3">
        <v>16.0</v>
      </c>
      <c r="I79" s="3">
        <v>24.0</v>
      </c>
      <c r="J79" s="3">
        <v>23.0</v>
      </c>
      <c r="K79" s="3">
        <v>23.5</v>
      </c>
      <c r="L79" s="3">
        <v>22.0</v>
      </c>
    </row>
    <row r="80">
      <c r="F80" s="3">
        <v>15.0</v>
      </c>
      <c r="G80" s="169">
        <v>15.0</v>
      </c>
      <c r="H80" s="3">
        <v>16.0</v>
      </c>
      <c r="I80" s="3">
        <v>7.0</v>
      </c>
      <c r="J80" s="3">
        <v>8.0</v>
      </c>
      <c r="K80" s="3">
        <v>9.0</v>
      </c>
      <c r="L80" s="3">
        <v>8.0</v>
      </c>
    </row>
    <row r="81">
      <c r="B81" s="3" t="s">
        <v>211</v>
      </c>
      <c r="C81" s="3">
        <v>4.6</v>
      </c>
      <c r="F81" s="3">
        <v>15.0</v>
      </c>
      <c r="G81" s="169">
        <v>16.0</v>
      </c>
      <c r="H81" s="3">
        <v>16.0</v>
      </c>
      <c r="I81" s="3">
        <v>22.0</v>
      </c>
      <c r="J81" s="3">
        <v>19.0</v>
      </c>
      <c r="K81" s="3">
        <v>19.5</v>
      </c>
      <c r="L81" s="3">
        <v>22.0</v>
      </c>
    </row>
    <row r="82">
      <c r="F82" s="3">
        <v>15.0</v>
      </c>
      <c r="G82" s="169">
        <v>20.0</v>
      </c>
      <c r="H82" s="3">
        <v>16.0</v>
      </c>
      <c r="I82" s="3">
        <v>10.0</v>
      </c>
      <c r="J82" s="3">
        <v>16.0</v>
      </c>
      <c r="K82" s="3">
        <v>15.0</v>
      </c>
      <c r="L82" s="3">
        <v>8.0</v>
      </c>
    </row>
    <row r="83">
      <c r="B83" s="3" t="s">
        <v>205</v>
      </c>
      <c r="C83" s="3">
        <v>8.0</v>
      </c>
      <c r="N83" s="3">
        <v>50.0</v>
      </c>
    </row>
    <row r="84">
      <c r="N84" s="3">
        <v>1.0</v>
      </c>
    </row>
    <row r="85">
      <c r="B85" s="3" t="s">
        <v>205</v>
      </c>
      <c r="C85" s="3">
        <v>8.0</v>
      </c>
      <c r="N85" s="3">
        <v>50.0</v>
      </c>
    </row>
    <row r="86">
      <c r="N86" s="3">
        <v>1.0</v>
      </c>
    </row>
    <row r="87">
      <c r="B87" s="3" t="s">
        <v>205</v>
      </c>
      <c r="C87" s="3">
        <v>8.0</v>
      </c>
      <c r="N87" s="3">
        <v>50.0</v>
      </c>
    </row>
    <row r="88">
      <c r="N88" s="3">
        <v>1.0</v>
      </c>
    </row>
    <row r="89">
      <c r="B89" s="3" t="s">
        <v>205</v>
      </c>
      <c r="C89" s="3">
        <v>8.0</v>
      </c>
    </row>
    <row r="91">
      <c r="B91" s="3" t="s">
        <v>205</v>
      </c>
      <c r="C91" s="3">
        <v>8.0</v>
      </c>
    </row>
    <row r="93">
      <c r="B93" s="3" t="s">
        <v>205</v>
      </c>
      <c r="C93" s="3">
        <v>8.0</v>
      </c>
    </row>
    <row r="95">
      <c r="B95" s="3" t="s">
        <v>205</v>
      </c>
      <c r="C95" s="3">
        <v>8.0</v>
      </c>
    </row>
    <row r="97">
      <c r="B97" s="3" t="s">
        <v>220</v>
      </c>
      <c r="J97" s="3">
        <v>0.0</v>
      </c>
      <c r="L97" s="3">
        <v>22.0</v>
      </c>
    </row>
    <row r="98">
      <c r="J98" s="3">
        <v>40.0</v>
      </c>
      <c r="L98" s="3">
        <v>20.0</v>
      </c>
    </row>
    <row r="99">
      <c r="B99" s="3" t="s">
        <v>220</v>
      </c>
      <c r="J99" s="3">
        <v>12.0</v>
      </c>
      <c r="L99" s="3">
        <v>22.0</v>
      </c>
    </row>
    <row r="100">
      <c r="J100" s="3">
        <v>30.0</v>
      </c>
      <c r="L100" s="3">
        <v>20.0</v>
      </c>
    </row>
    <row r="101">
      <c r="B101" s="3" t="s">
        <v>220</v>
      </c>
      <c r="J101" s="3">
        <v>22.0</v>
      </c>
      <c r="L101" s="3">
        <v>22.0</v>
      </c>
    </row>
    <row r="102">
      <c r="J102" s="3">
        <v>20.0</v>
      </c>
      <c r="L102" s="3">
        <v>20.0</v>
      </c>
    </row>
    <row r="103">
      <c r="B103" s="3" t="s">
        <v>182</v>
      </c>
      <c r="C103" s="3">
        <v>8.0</v>
      </c>
      <c r="N103" s="3">
        <v>40.0</v>
      </c>
    </row>
    <row r="104">
      <c r="N104" s="3">
        <v>3.0</v>
      </c>
    </row>
    <row r="105">
      <c r="B105" s="3" t="s">
        <v>182</v>
      </c>
      <c r="C105" s="3">
        <v>8.0</v>
      </c>
      <c r="N105" s="3">
        <v>44.0</v>
      </c>
    </row>
    <row r="106">
      <c r="N106" s="3">
        <v>3.0</v>
      </c>
    </row>
    <row r="107">
      <c r="B107" s="3" t="s">
        <v>182</v>
      </c>
      <c r="C107" s="3">
        <v>8.0</v>
      </c>
      <c r="N107" s="3">
        <v>48.0</v>
      </c>
    </row>
    <row r="108">
      <c r="N108" s="3">
        <v>3.0</v>
      </c>
    </row>
    <row r="109">
      <c r="B109" s="3" t="s">
        <v>182</v>
      </c>
      <c r="C109" s="3">
        <v>8.0</v>
      </c>
      <c r="N109" s="3">
        <v>50.0</v>
      </c>
    </row>
    <row r="110">
      <c r="N110" s="3">
        <v>2.0</v>
      </c>
    </row>
    <row r="111">
      <c r="B111" s="3" t="s">
        <v>182</v>
      </c>
      <c r="C111" s="3">
        <v>8.0</v>
      </c>
      <c r="N111" s="3">
        <v>52.0</v>
      </c>
    </row>
    <row r="112">
      <c r="N112" s="3">
        <v>2.0</v>
      </c>
    </row>
    <row r="113">
      <c r="B113" s="3" t="s">
        <v>182</v>
      </c>
      <c r="C113" s="3">
        <v>8.0</v>
      </c>
      <c r="N113" s="3">
        <v>54.0</v>
      </c>
    </row>
    <row r="114">
      <c r="N114" s="3">
        <v>2.0</v>
      </c>
    </row>
    <row r="115">
      <c r="B115" s="3" t="s">
        <v>182</v>
      </c>
      <c r="C115" s="3">
        <v>8.0</v>
      </c>
      <c r="N115" s="3">
        <v>56.0</v>
      </c>
    </row>
    <row r="116">
      <c r="N116" s="3">
        <v>1.0</v>
      </c>
    </row>
    <row r="117">
      <c r="B117" s="3" t="s">
        <v>182</v>
      </c>
      <c r="C117" s="3">
        <v>8.0</v>
      </c>
      <c r="N117" s="3">
        <v>58.0</v>
      </c>
    </row>
    <row r="118">
      <c r="N118" s="3">
        <v>1.0</v>
      </c>
    </row>
    <row r="119">
      <c r="B119"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7" width="4.25"/>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16" t="s">
        <v>160</v>
      </c>
      <c r="U1" s="101" t="s">
        <v>223</v>
      </c>
      <c r="V1" s="170"/>
      <c r="W1" s="3" t="s">
        <v>224</v>
      </c>
      <c r="X1" s="3" t="s">
        <v>224</v>
      </c>
      <c r="Y1" s="3" t="s">
        <v>224</v>
      </c>
      <c r="Z1" s="3" t="s">
        <v>224</v>
      </c>
      <c r="AA1" s="3" t="s">
        <v>224</v>
      </c>
      <c r="AB1" s="3" t="s">
        <v>224</v>
      </c>
      <c r="AD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U2" s="172"/>
      <c r="V2" s="101"/>
      <c r="Z2" s="3" t="s">
        <v>225</v>
      </c>
      <c r="AB2" s="3" t="s">
        <v>226</v>
      </c>
    </row>
    <row r="3">
      <c r="B3" s="173" t="s">
        <v>163</v>
      </c>
      <c r="C3" s="174">
        <v>8.0</v>
      </c>
      <c r="D3" s="175">
        <v>60.0</v>
      </c>
      <c r="E3" s="175">
        <v>60.0</v>
      </c>
      <c r="F3" s="176">
        <v>60.0</v>
      </c>
      <c r="G3" s="176">
        <v>60.0</v>
      </c>
      <c r="H3" s="176">
        <v>60.0</v>
      </c>
      <c r="I3" s="177"/>
      <c r="W3" s="171">
        <v>45821.0</v>
      </c>
      <c r="X3" s="109">
        <v>45828.0</v>
      </c>
      <c r="Y3" s="73">
        <v>45835.0</v>
      </c>
      <c r="Z3" s="109">
        <v>45842.0</v>
      </c>
      <c r="AA3" s="73">
        <v>45849.0</v>
      </c>
      <c r="AB3" s="73">
        <v>45856.0</v>
      </c>
      <c r="AC3" s="124">
        <v>45863.0</v>
      </c>
    </row>
    <row r="4">
      <c r="B4" s="178"/>
      <c r="C4" s="101"/>
      <c r="D4" s="108">
        <v>3.0</v>
      </c>
      <c r="E4" s="108">
        <v>4.0</v>
      </c>
      <c r="F4" s="3">
        <v>3.0</v>
      </c>
      <c r="G4" s="3">
        <v>3.0</v>
      </c>
      <c r="H4" s="3">
        <v>3.0</v>
      </c>
      <c r="I4" s="179"/>
      <c r="W4" s="108">
        <v>67.1</v>
      </c>
      <c r="X4" s="108">
        <v>65.8</v>
      </c>
      <c r="Y4" s="3">
        <v>66.5</v>
      </c>
      <c r="Z4" s="3">
        <v>66.4</v>
      </c>
      <c r="AA4" s="3">
        <v>66.5</v>
      </c>
      <c r="AB4" s="3">
        <v>66.9</v>
      </c>
      <c r="AC4" s="3">
        <v>66.9</v>
      </c>
    </row>
    <row r="5">
      <c r="B5" s="180" t="s">
        <v>163</v>
      </c>
      <c r="C5" s="101">
        <v>8.0</v>
      </c>
      <c r="D5" s="108">
        <v>70.0</v>
      </c>
      <c r="E5" s="108">
        <v>70.0</v>
      </c>
      <c r="F5" s="3">
        <v>70.0</v>
      </c>
      <c r="G5" s="3">
        <v>70.0</v>
      </c>
      <c r="H5" s="3">
        <v>70.0</v>
      </c>
      <c r="I5" s="181"/>
      <c r="J5" s="181"/>
      <c r="S5" s="181"/>
    </row>
    <row r="6">
      <c r="B6" s="178"/>
      <c r="C6" s="101"/>
      <c r="D6" s="108">
        <v>2.0</v>
      </c>
      <c r="E6" s="108">
        <v>2.0</v>
      </c>
      <c r="F6" s="3">
        <v>2.0</v>
      </c>
      <c r="G6" s="3">
        <v>2.0</v>
      </c>
      <c r="H6" s="3">
        <v>2.0</v>
      </c>
      <c r="I6" s="179"/>
      <c r="J6" s="179"/>
      <c r="S6" s="179"/>
    </row>
    <row r="7">
      <c r="B7" s="180" t="s">
        <v>163</v>
      </c>
      <c r="C7" s="101">
        <v>8.0</v>
      </c>
      <c r="D7" s="108">
        <v>79.0</v>
      </c>
      <c r="E7" s="108">
        <v>84.0</v>
      </c>
      <c r="F7" s="3">
        <v>80.0</v>
      </c>
      <c r="G7" s="3">
        <v>80.0</v>
      </c>
      <c r="H7" s="3">
        <v>80.0</v>
      </c>
      <c r="I7" s="179"/>
      <c r="J7" s="179"/>
      <c r="S7" s="179"/>
    </row>
    <row r="8">
      <c r="B8" s="178"/>
      <c r="C8" s="101"/>
      <c r="D8" s="108">
        <v>1.0</v>
      </c>
      <c r="E8" s="108">
        <v>1.0</v>
      </c>
      <c r="F8" s="3">
        <v>1.0</v>
      </c>
      <c r="G8" s="3">
        <v>1.0</v>
      </c>
      <c r="H8" s="3">
        <v>1.0</v>
      </c>
      <c r="I8" s="179"/>
      <c r="J8" s="179"/>
      <c r="S8" s="179"/>
    </row>
    <row r="9">
      <c r="B9" s="180" t="s">
        <v>163</v>
      </c>
      <c r="C9" s="101">
        <v>8.0</v>
      </c>
      <c r="D9" s="182">
        <v>80.0</v>
      </c>
      <c r="E9" s="182">
        <v>85.0</v>
      </c>
      <c r="F9" s="168">
        <v>92.0</v>
      </c>
      <c r="G9" s="183">
        <v>93.0</v>
      </c>
      <c r="H9" s="3">
        <v>90.0</v>
      </c>
      <c r="I9" s="181"/>
      <c r="J9" s="181"/>
      <c r="S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row>
    <row r="14">
      <c r="B14" s="178"/>
      <c r="C14" s="101"/>
      <c r="D14" s="108">
        <v>15.0</v>
      </c>
      <c r="E14" s="108">
        <v>13.0</v>
      </c>
      <c r="F14" s="3">
        <v>14.0</v>
      </c>
      <c r="G14" s="3">
        <v>10.0</v>
      </c>
      <c r="H14" s="3">
        <v>10.0</v>
      </c>
      <c r="I14" s="179"/>
      <c r="Q14" s="3">
        <v>2.0</v>
      </c>
    </row>
    <row r="15">
      <c r="B15" s="180" t="s">
        <v>166</v>
      </c>
      <c r="C15" s="101">
        <v>8.0</v>
      </c>
      <c r="D15" s="108">
        <v>50.0</v>
      </c>
      <c r="E15" s="108">
        <v>60.0</v>
      </c>
      <c r="F15" s="3">
        <v>60.0</v>
      </c>
      <c r="G15" s="168">
        <v>61.0</v>
      </c>
      <c r="H15" s="168">
        <v>62.0</v>
      </c>
      <c r="I15" s="179"/>
      <c r="Q15" s="3">
        <v>70.0</v>
      </c>
    </row>
    <row r="16">
      <c r="B16" s="178"/>
      <c r="C16" s="172"/>
      <c r="D16" s="108">
        <v>12.0</v>
      </c>
      <c r="E16" s="108">
        <v>8.0</v>
      </c>
      <c r="F16" s="3">
        <v>8.0</v>
      </c>
      <c r="G16" s="168">
        <v>8.0</v>
      </c>
      <c r="H16" s="168">
        <v>8.0</v>
      </c>
      <c r="I16" s="179"/>
      <c r="Q16" s="3">
        <v>2.0</v>
      </c>
    </row>
    <row r="17">
      <c r="B17" s="180" t="s">
        <v>166</v>
      </c>
      <c r="C17" s="101">
        <v>8.0</v>
      </c>
      <c r="D17" s="108">
        <v>60.0</v>
      </c>
      <c r="E17" s="108">
        <v>70.0</v>
      </c>
      <c r="F17" s="3">
        <v>70.0</v>
      </c>
      <c r="G17" s="168">
        <v>71.0</v>
      </c>
      <c r="H17" s="168">
        <v>72.0</v>
      </c>
      <c r="I17" s="179"/>
      <c r="Q17" s="3">
        <v>70.0</v>
      </c>
      <c r="S17" s="15" t="s">
        <v>26</v>
      </c>
      <c r="T17" s="190">
        <v>54.0</v>
      </c>
      <c r="U17" s="3" t="s">
        <v>26</v>
      </c>
      <c r="V17" s="191">
        <f>IF(V18&lt;10, 2*V19 / (1/(1.0278 - 0.0278*V18) + V18^0.1), 2*V19 / ((1 + 0.0333*V18) + V18^0.1))</f>
        <v>48.22102825</v>
      </c>
    </row>
    <row r="18">
      <c r="B18" s="178"/>
      <c r="C18" s="172"/>
      <c r="D18" s="108">
        <v>8.0</v>
      </c>
      <c r="E18" s="108">
        <v>5.0</v>
      </c>
      <c r="F18" s="3">
        <v>5.0</v>
      </c>
      <c r="G18" s="168">
        <v>5.0</v>
      </c>
      <c r="H18" s="168">
        <v>5.0</v>
      </c>
      <c r="I18" s="179"/>
      <c r="Q18" s="3">
        <v>2.0</v>
      </c>
      <c r="S18" s="15" t="s">
        <v>37</v>
      </c>
      <c r="T18" s="190">
        <v>12.0</v>
      </c>
      <c r="U18" s="3" t="s">
        <v>227</v>
      </c>
      <c r="V18" s="192">
        <v>4.0</v>
      </c>
    </row>
    <row r="19">
      <c r="B19" s="180" t="s">
        <v>166</v>
      </c>
      <c r="C19" s="101">
        <v>8.0</v>
      </c>
      <c r="D19" s="108">
        <v>70.0</v>
      </c>
      <c r="E19" s="108">
        <v>75.0</v>
      </c>
      <c r="F19" s="193">
        <v>78.0</v>
      </c>
      <c r="G19" s="3">
        <v>77.0</v>
      </c>
      <c r="H19" s="3">
        <v>77.0</v>
      </c>
      <c r="I19" s="179"/>
      <c r="S19" s="15" t="s">
        <v>36</v>
      </c>
      <c r="T19" s="43">
        <f>ROUND(IF(T18&lt;10,AVERAGE(T17/(1.0278-0.0278*T18),T17*T18^0.1),AVERAGE(T17*(1+0.0333*T18),T17*T18^0.1)),1)</f>
        <v>72.4</v>
      </c>
      <c r="U19" s="3" t="s">
        <v>228</v>
      </c>
      <c r="V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S22" s="15" t="s">
        <v>26</v>
      </c>
      <c r="T22" s="68">
        <v>48.0</v>
      </c>
    </row>
    <row r="23">
      <c r="B23" s="173" t="s">
        <v>205</v>
      </c>
      <c r="C23" s="174">
        <v>8.0</v>
      </c>
      <c r="D23" s="175">
        <v>40.0</v>
      </c>
      <c r="E23" s="175">
        <v>40.0</v>
      </c>
      <c r="F23" s="176">
        <v>40.0</v>
      </c>
      <c r="G23" s="176">
        <v>40.0</v>
      </c>
      <c r="H23" s="176">
        <v>40.0</v>
      </c>
      <c r="I23" s="177"/>
      <c r="N23" s="168">
        <v>50.0</v>
      </c>
      <c r="O23" s="3">
        <v>40.0</v>
      </c>
      <c r="Q23" s="3">
        <v>54.0</v>
      </c>
      <c r="S23" s="15" t="s">
        <v>37</v>
      </c>
      <c r="T23" s="68">
        <v>4.0</v>
      </c>
    </row>
    <row r="24">
      <c r="B24" s="178"/>
      <c r="C24" s="172"/>
      <c r="D24" s="108">
        <v>3.0</v>
      </c>
      <c r="E24" s="108">
        <v>3.0</v>
      </c>
      <c r="F24" s="3">
        <v>3.0</v>
      </c>
      <c r="G24" s="3">
        <v>3.0</v>
      </c>
      <c r="H24" s="3">
        <v>3.0</v>
      </c>
      <c r="I24" s="179"/>
      <c r="N24" s="168">
        <v>3.0</v>
      </c>
      <c r="O24" s="3">
        <v>5.0</v>
      </c>
      <c r="Q24" s="3">
        <v>1.0</v>
      </c>
      <c r="S24" s="15" t="s">
        <v>36</v>
      </c>
      <c r="T24" s="43">
        <f>ROUND(IF(T23&lt;10,AVERAGE(T22/(1.0278-0.0278*T23),T22*T23^0.1),AVERAGE(T22*(1+0.0333*T23),T22*T23^0.1)),1)</f>
        <v>53.8</v>
      </c>
      <c r="W24" s="73"/>
      <c r="X24" s="176"/>
      <c r="AB24" s="168"/>
      <c r="AC24" s="168"/>
      <c r="AD24" s="168"/>
      <c r="AE24" s="168"/>
      <c r="AF24" s="75"/>
      <c r="AG24" s="198"/>
    </row>
    <row r="25">
      <c r="B25" s="180" t="s">
        <v>205</v>
      </c>
      <c r="C25" s="101">
        <v>8.0</v>
      </c>
      <c r="D25" s="108">
        <v>44.0</v>
      </c>
      <c r="E25" s="108">
        <v>44.0</v>
      </c>
      <c r="F25" s="3">
        <v>48.0</v>
      </c>
      <c r="G25" s="3">
        <v>48.0</v>
      </c>
      <c r="H25" s="3">
        <v>48.0</v>
      </c>
      <c r="I25" s="179"/>
      <c r="N25" s="168">
        <v>52.0</v>
      </c>
      <c r="O25" s="168">
        <v>50.0</v>
      </c>
      <c r="Q25" s="3">
        <v>54.0</v>
      </c>
      <c r="W25" s="94"/>
      <c r="X25" s="199"/>
      <c r="Y25" s="168"/>
      <c r="Z25" s="168"/>
      <c r="AA25" s="168"/>
      <c r="AB25" s="168"/>
      <c r="AC25" s="168"/>
      <c r="AD25" s="168"/>
      <c r="AE25" s="168"/>
      <c r="AF25" s="182"/>
      <c r="AG25" s="196"/>
    </row>
    <row r="26">
      <c r="B26" s="178"/>
      <c r="C26" s="172"/>
      <c r="D26" s="108">
        <v>3.0</v>
      </c>
      <c r="E26" s="108">
        <v>3.0</v>
      </c>
      <c r="F26" s="3">
        <v>3.0</v>
      </c>
      <c r="G26" s="3">
        <v>3.0</v>
      </c>
      <c r="H26" s="3">
        <v>3.0</v>
      </c>
      <c r="I26" s="179"/>
      <c r="N26" s="168">
        <v>3.0</v>
      </c>
      <c r="O26" s="168">
        <v>4.0</v>
      </c>
      <c r="Q26" s="3">
        <v>1.0</v>
      </c>
      <c r="W26" s="73"/>
      <c r="X26" s="199"/>
      <c r="Y26" s="168"/>
      <c r="Z26" s="168"/>
      <c r="AA26" s="168"/>
      <c r="AB26" s="168"/>
      <c r="AC26" s="168"/>
      <c r="AD26" s="168"/>
      <c r="AE26" s="168"/>
      <c r="AF26" s="75"/>
      <c r="AG26" s="198"/>
    </row>
    <row r="27">
      <c r="B27" s="180" t="s">
        <v>205</v>
      </c>
      <c r="C27" s="101">
        <v>8.0</v>
      </c>
      <c r="D27" s="108">
        <v>48.0</v>
      </c>
      <c r="E27" s="108">
        <v>48.0</v>
      </c>
      <c r="F27" s="3">
        <v>50.0</v>
      </c>
      <c r="G27" s="168">
        <v>50.5</v>
      </c>
      <c r="H27" s="168">
        <v>51.0</v>
      </c>
      <c r="I27" s="179"/>
      <c r="N27" s="168">
        <v>54.0</v>
      </c>
      <c r="O27" s="168">
        <v>53.0</v>
      </c>
      <c r="Q27" s="3">
        <v>54.0</v>
      </c>
      <c r="W27" s="73"/>
      <c r="X27" s="200"/>
      <c r="Y27" s="181"/>
      <c r="Z27" s="181"/>
      <c r="AA27" s="181"/>
      <c r="AB27" s="181"/>
      <c r="AC27" s="181"/>
      <c r="AD27" s="201"/>
      <c r="AE27" s="201"/>
      <c r="AF27" s="202"/>
      <c r="AG27" s="203"/>
    </row>
    <row r="28">
      <c r="B28" s="178"/>
      <c r="C28" s="172"/>
      <c r="D28" s="108">
        <v>3.0</v>
      </c>
      <c r="E28" s="108">
        <v>3.0</v>
      </c>
      <c r="F28" s="3">
        <v>2.0</v>
      </c>
      <c r="G28" s="168">
        <v>2.0</v>
      </c>
      <c r="H28" s="168">
        <v>2.0</v>
      </c>
      <c r="I28" s="179"/>
      <c r="N28" s="168">
        <v>2.0</v>
      </c>
      <c r="O28" s="168">
        <v>3.0</v>
      </c>
      <c r="Q28" s="3">
        <v>1.0</v>
      </c>
      <c r="W28" s="94"/>
      <c r="X28" s="168"/>
      <c r="Y28" s="168"/>
      <c r="Z28" s="168"/>
      <c r="AA28" s="168"/>
      <c r="AB28" s="168"/>
      <c r="AC28" s="168"/>
      <c r="AF28" s="75"/>
      <c r="AG28" s="75"/>
    </row>
    <row r="29">
      <c r="B29" s="180" t="s">
        <v>205</v>
      </c>
      <c r="C29" s="101">
        <v>8.0</v>
      </c>
      <c r="D29" s="182">
        <v>49.0</v>
      </c>
      <c r="E29" s="108">
        <v>50.0</v>
      </c>
      <c r="F29" s="3">
        <v>52.0</v>
      </c>
      <c r="I29" s="179"/>
      <c r="N29" s="168">
        <v>56.0</v>
      </c>
      <c r="O29" s="168">
        <v>55.0</v>
      </c>
    </row>
    <row r="30">
      <c r="B30" s="178"/>
      <c r="C30" s="172"/>
      <c r="D30" s="182">
        <v>3.0</v>
      </c>
      <c r="E30" s="108">
        <v>2.0</v>
      </c>
      <c r="F30" s="3">
        <v>1.0</v>
      </c>
      <c r="I30" s="179"/>
      <c r="N30" s="168">
        <v>1.0</v>
      </c>
      <c r="O30" s="168">
        <v>2.0</v>
      </c>
      <c r="W30" s="73"/>
    </row>
    <row r="31">
      <c r="B31" s="180" t="s">
        <v>205</v>
      </c>
      <c r="C31" s="101">
        <v>8.0</v>
      </c>
      <c r="D31" s="75"/>
      <c r="E31" s="108">
        <v>51.0</v>
      </c>
      <c r="F31" s="3">
        <v>53.0</v>
      </c>
      <c r="I31" s="179"/>
      <c r="N31" s="168">
        <v>58.0</v>
      </c>
      <c r="W31" s="94"/>
    </row>
    <row r="32">
      <c r="B32" s="178"/>
      <c r="C32" s="172"/>
      <c r="D32" s="75"/>
      <c r="E32" s="108">
        <v>1.0</v>
      </c>
      <c r="F32" s="3">
        <v>1.0</v>
      </c>
      <c r="I32" s="179"/>
      <c r="N32" s="168">
        <v>1.0</v>
      </c>
      <c r="W32" s="73"/>
    </row>
    <row r="33">
      <c r="B33" s="180" t="s">
        <v>205</v>
      </c>
      <c r="C33" s="101">
        <v>8.0</v>
      </c>
      <c r="D33" s="75"/>
      <c r="E33" s="108">
        <v>52.0</v>
      </c>
      <c r="F33" s="193">
        <v>53.5</v>
      </c>
      <c r="I33" s="179"/>
      <c r="N33" s="168">
        <v>59.0</v>
      </c>
      <c r="W33" s="73"/>
    </row>
    <row r="34">
      <c r="B34" s="178"/>
      <c r="C34" s="172"/>
      <c r="D34" s="75"/>
      <c r="E34" s="108">
        <v>1.0</v>
      </c>
      <c r="F34" s="193">
        <v>1.0</v>
      </c>
      <c r="I34" s="179"/>
      <c r="N34" s="168">
        <v>1.0</v>
      </c>
      <c r="V34" s="204"/>
      <c r="W34" s="94"/>
    </row>
    <row r="35">
      <c r="B35" s="180" t="s">
        <v>205</v>
      </c>
      <c r="C35" s="101">
        <v>8.0</v>
      </c>
      <c r="D35" s="75"/>
      <c r="E35" s="182">
        <v>53.0</v>
      </c>
      <c r="I35" s="179"/>
      <c r="V35" s="204"/>
      <c r="W35" s="204"/>
      <c r="X35" s="204"/>
      <c r="Y35" s="204"/>
      <c r="Z35" s="204"/>
    </row>
    <row r="36">
      <c r="B36" s="194"/>
      <c r="C36" s="195"/>
      <c r="D36" s="198"/>
      <c r="E36" s="196">
        <v>1.0</v>
      </c>
      <c r="F36" s="205"/>
      <c r="G36" s="205"/>
      <c r="H36" s="205"/>
      <c r="I36" s="189"/>
      <c r="V36" s="204"/>
      <c r="W36" s="204"/>
      <c r="X36" s="204"/>
      <c r="Y36" s="204"/>
      <c r="Z36" s="204"/>
    </row>
    <row r="37">
      <c r="B37" s="206" t="s">
        <v>49</v>
      </c>
      <c r="C37" s="174">
        <v>8.0</v>
      </c>
      <c r="D37" s="207"/>
      <c r="E37" s="207"/>
      <c r="F37" s="176">
        <v>52.0</v>
      </c>
      <c r="G37" s="199">
        <v>51.0</v>
      </c>
      <c r="H37" s="199">
        <v>50.0</v>
      </c>
      <c r="I37" s="200">
        <v>40.0</v>
      </c>
      <c r="J37" s="208">
        <v>50.0</v>
      </c>
      <c r="K37" s="3">
        <v>40.0</v>
      </c>
      <c r="L37" s="3">
        <v>40.0</v>
      </c>
      <c r="M37" s="3">
        <v>40.0</v>
      </c>
      <c r="N37" s="3">
        <v>60.0</v>
      </c>
      <c r="O37" s="168">
        <v>58.0</v>
      </c>
      <c r="P37" s="3">
        <v>40.0</v>
      </c>
      <c r="V37" s="204"/>
      <c r="W37" s="204"/>
      <c r="X37" s="204"/>
      <c r="Y37" s="204"/>
      <c r="Z37" s="204"/>
    </row>
    <row r="38">
      <c r="B38" s="209"/>
      <c r="C38" s="172"/>
      <c r="D38" s="75"/>
      <c r="E38" s="75"/>
      <c r="F38" s="3">
        <v>1.0</v>
      </c>
      <c r="G38" s="168">
        <v>3.0</v>
      </c>
      <c r="H38" s="168">
        <v>4.0</v>
      </c>
      <c r="I38" s="181">
        <v>4.0</v>
      </c>
      <c r="J38" s="208">
        <v>7.0</v>
      </c>
      <c r="K38" s="3">
        <v>4.0</v>
      </c>
      <c r="L38" s="3">
        <v>4.0</v>
      </c>
      <c r="M38" s="3">
        <v>4.0</v>
      </c>
      <c r="N38" s="3">
        <v>1.0</v>
      </c>
      <c r="O38" s="168">
        <v>3.0</v>
      </c>
      <c r="P38" s="3">
        <v>4.0</v>
      </c>
      <c r="V38" s="204"/>
      <c r="W38" s="204"/>
      <c r="X38" s="204"/>
      <c r="Y38" s="204"/>
      <c r="Z38" s="204"/>
    </row>
    <row r="39">
      <c r="B39" s="209" t="s">
        <v>49</v>
      </c>
      <c r="C39" s="101">
        <v>8.0</v>
      </c>
      <c r="D39" s="75"/>
      <c r="E39" s="75"/>
      <c r="F39" s="3">
        <v>53.0</v>
      </c>
      <c r="G39" s="168">
        <v>53.0</v>
      </c>
      <c r="H39" s="168">
        <v>54.0</v>
      </c>
      <c r="I39" s="181">
        <v>50.0</v>
      </c>
      <c r="J39" s="168">
        <v>54.0</v>
      </c>
      <c r="K39" s="3">
        <v>50.0</v>
      </c>
      <c r="L39" s="3">
        <v>50.0</v>
      </c>
      <c r="M39" s="3">
        <v>50.0</v>
      </c>
      <c r="N39" s="168">
        <v>47.0</v>
      </c>
      <c r="O39" s="168">
        <v>50.0</v>
      </c>
      <c r="P39" s="3">
        <v>50.0</v>
      </c>
      <c r="V39" s="204"/>
      <c r="W39" s="204"/>
      <c r="X39" s="204"/>
      <c r="Y39" s="204"/>
      <c r="Z39" s="204"/>
    </row>
    <row r="40">
      <c r="B40" s="209"/>
      <c r="C40" s="172"/>
      <c r="D40" s="75"/>
      <c r="E40" s="75"/>
      <c r="F40" s="3">
        <v>1.0</v>
      </c>
      <c r="G40" s="168">
        <v>2.0</v>
      </c>
      <c r="H40" s="168">
        <v>2.0</v>
      </c>
      <c r="I40" s="181">
        <v>3.0</v>
      </c>
      <c r="J40" s="168">
        <v>3.0</v>
      </c>
      <c r="K40" s="3">
        <v>2.0</v>
      </c>
      <c r="L40" s="3">
        <v>2.0</v>
      </c>
      <c r="M40" s="3">
        <v>2.0</v>
      </c>
      <c r="N40" s="168">
        <v>12.0</v>
      </c>
      <c r="O40" s="168">
        <v>9.0</v>
      </c>
      <c r="P40" s="3">
        <v>2.0</v>
      </c>
      <c r="V40" s="204"/>
      <c r="W40" s="204"/>
      <c r="X40" s="204"/>
      <c r="Y40" s="204"/>
      <c r="Z40" s="204"/>
    </row>
    <row r="41">
      <c r="B41" s="209" t="s">
        <v>49</v>
      </c>
      <c r="C41" s="101">
        <v>8.0</v>
      </c>
      <c r="D41" s="75"/>
      <c r="E41" s="75"/>
      <c r="F41" s="168">
        <v>54.0</v>
      </c>
      <c r="G41" s="168">
        <v>55.0</v>
      </c>
      <c r="H41" s="168">
        <v>57.0</v>
      </c>
      <c r="I41" s="181">
        <v>54.0</v>
      </c>
      <c r="J41" s="168">
        <v>56.0</v>
      </c>
      <c r="K41" s="3">
        <v>55.0</v>
      </c>
      <c r="L41" s="168">
        <v>57.0</v>
      </c>
      <c r="M41" s="3">
        <v>58.0</v>
      </c>
      <c r="N41" s="168">
        <v>42.0</v>
      </c>
      <c r="O41" s="168">
        <v>44.0</v>
      </c>
      <c r="P41" s="3">
        <v>56.0</v>
      </c>
      <c r="V41" s="204"/>
      <c r="W41" s="204"/>
      <c r="X41" s="204"/>
      <c r="Y41" s="204"/>
      <c r="Z41" s="204"/>
    </row>
    <row r="42">
      <c r="B42" s="209"/>
      <c r="C42" s="172"/>
      <c r="D42" s="75"/>
      <c r="E42" s="75"/>
      <c r="F42" s="168">
        <v>1.0</v>
      </c>
      <c r="G42" s="168">
        <v>1.0</v>
      </c>
      <c r="H42" s="168">
        <v>1.0</v>
      </c>
      <c r="I42" s="181">
        <v>1.0</v>
      </c>
      <c r="J42" s="168">
        <v>2.0</v>
      </c>
      <c r="K42" s="3">
        <v>1.0</v>
      </c>
      <c r="L42" s="168">
        <v>4.0</v>
      </c>
      <c r="M42" s="3">
        <v>1.0</v>
      </c>
      <c r="N42" s="168">
        <v>17.0</v>
      </c>
      <c r="O42" s="168">
        <v>14.0</v>
      </c>
      <c r="P42" s="3">
        <v>1.0</v>
      </c>
      <c r="V42" s="204"/>
      <c r="W42" s="204"/>
      <c r="X42" s="204"/>
      <c r="Y42" s="204"/>
      <c r="Z42" s="204"/>
    </row>
    <row r="43">
      <c r="B43" s="209" t="s">
        <v>49</v>
      </c>
      <c r="C43" s="101">
        <v>8.0</v>
      </c>
      <c r="D43" s="75"/>
      <c r="E43" s="75"/>
      <c r="F43" s="168"/>
      <c r="G43" s="168">
        <v>55.5</v>
      </c>
      <c r="H43" s="168">
        <v>57.5</v>
      </c>
      <c r="I43" s="201">
        <v>58.0</v>
      </c>
      <c r="K43" s="168">
        <v>60.0</v>
      </c>
      <c r="L43" s="168">
        <v>59.0</v>
      </c>
      <c r="M43" s="108">
        <v>57.5</v>
      </c>
      <c r="P43" s="3">
        <v>60.0</v>
      </c>
      <c r="V43" s="204"/>
      <c r="W43" s="204"/>
      <c r="X43" s="204"/>
      <c r="Y43" s="204"/>
      <c r="Z43" s="204"/>
    </row>
    <row r="44">
      <c r="B44" s="209"/>
      <c r="C44" s="172"/>
      <c r="D44" s="75"/>
      <c r="E44" s="75"/>
      <c r="F44" s="168"/>
      <c r="G44" s="168">
        <v>1.0</v>
      </c>
      <c r="H44" s="168">
        <v>1.0</v>
      </c>
      <c r="I44" s="201">
        <v>1.0</v>
      </c>
      <c r="K44" s="168">
        <v>1.0</v>
      </c>
      <c r="L44" s="168">
        <v>2.0</v>
      </c>
      <c r="M44" s="108">
        <v>1.0</v>
      </c>
      <c r="P44" s="3">
        <v>1.0</v>
      </c>
      <c r="V44" s="204"/>
      <c r="W44" s="204"/>
      <c r="X44" s="204"/>
      <c r="Y44" s="204"/>
      <c r="Z44" s="204"/>
    </row>
    <row r="45">
      <c r="A45" s="75"/>
      <c r="B45" s="209" t="s">
        <v>49</v>
      </c>
      <c r="C45" s="101">
        <v>8.0</v>
      </c>
      <c r="D45" s="75"/>
      <c r="E45" s="75"/>
      <c r="F45" s="75"/>
      <c r="G45" s="182">
        <v>56.0</v>
      </c>
      <c r="H45" s="75"/>
      <c r="I45" s="202">
        <v>59.0</v>
      </c>
      <c r="J45" s="75"/>
      <c r="K45" s="182">
        <v>61.0</v>
      </c>
      <c r="L45" s="182">
        <v>46.0</v>
      </c>
      <c r="M45" s="168">
        <v>42.0</v>
      </c>
      <c r="N45" s="75"/>
      <c r="O45" s="75"/>
      <c r="P45" s="182">
        <v>62.0</v>
      </c>
      <c r="Q45" s="75"/>
      <c r="R45" s="75"/>
      <c r="S45" s="75"/>
      <c r="T45" s="75"/>
      <c r="U45" s="75"/>
      <c r="V45" s="75"/>
      <c r="W45" s="75"/>
      <c r="X45" s="75"/>
      <c r="Y45" s="75"/>
      <c r="Z45" s="75"/>
      <c r="AA45" s="75"/>
      <c r="AB45" s="75"/>
      <c r="AC45" s="75"/>
      <c r="AD45" s="75"/>
      <c r="AE45" s="75"/>
      <c r="AF45" s="75"/>
      <c r="AG45" s="75"/>
    </row>
    <row r="46">
      <c r="A46" s="75"/>
      <c r="B46" s="210"/>
      <c r="C46" s="195"/>
      <c r="D46" s="198"/>
      <c r="E46" s="198"/>
      <c r="F46" s="198"/>
      <c r="G46" s="196">
        <v>1.0</v>
      </c>
      <c r="H46" s="198"/>
      <c r="I46" s="203">
        <v>1.0</v>
      </c>
      <c r="J46" s="75"/>
      <c r="K46" s="182">
        <v>1.0</v>
      </c>
      <c r="L46" s="182">
        <v>12.0</v>
      </c>
      <c r="M46" s="168">
        <v>16.0</v>
      </c>
      <c r="N46" s="75"/>
      <c r="O46" s="75"/>
      <c r="P46" s="182">
        <v>1.0</v>
      </c>
      <c r="Q46" s="75"/>
      <c r="R46" s="75"/>
      <c r="S46" s="75"/>
      <c r="T46" s="75"/>
      <c r="U46" s="75"/>
      <c r="V46" s="75"/>
      <c r="W46" s="75"/>
      <c r="X46" s="75"/>
      <c r="Y46" s="75"/>
      <c r="Z46" s="75"/>
      <c r="AA46" s="75"/>
      <c r="AB46" s="75"/>
      <c r="AC46" s="75"/>
      <c r="AD46" s="75"/>
      <c r="AE46" s="75"/>
      <c r="AF46" s="75"/>
      <c r="AG46" s="75"/>
    </row>
    <row r="47">
      <c r="B47" s="209" t="s">
        <v>49</v>
      </c>
      <c r="C47" s="101">
        <v>8.0</v>
      </c>
      <c r="D47" s="75"/>
      <c r="E47" s="75"/>
      <c r="I47" s="168"/>
      <c r="K47" s="208">
        <v>53.0</v>
      </c>
      <c r="M47" s="168">
        <v>47.0</v>
      </c>
      <c r="P47" s="183">
        <v>63.0</v>
      </c>
      <c r="AE47" s="172"/>
      <c r="AF47" s="172"/>
      <c r="AG47" s="172"/>
    </row>
    <row r="48">
      <c r="B48" s="210"/>
      <c r="C48" s="195"/>
      <c r="D48" s="75"/>
      <c r="E48" s="75"/>
      <c r="I48" s="168"/>
      <c r="K48" s="208">
        <v>6.0</v>
      </c>
      <c r="M48" s="168">
        <v>8.0</v>
      </c>
      <c r="P48" s="183">
        <v>1.0</v>
      </c>
      <c r="AE48" s="172"/>
      <c r="AF48" s="172"/>
      <c r="AG48" s="172"/>
    </row>
    <row r="49">
      <c r="B49" s="173" t="s">
        <v>203</v>
      </c>
      <c r="C49" s="174">
        <v>8.0</v>
      </c>
      <c r="D49" s="207"/>
      <c r="E49" s="207"/>
      <c r="F49" s="211"/>
      <c r="G49" s="211"/>
      <c r="H49" s="211"/>
      <c r="I49" s="199">
        <v>30.0</v>
      </c>
      <c r="J49" s="211"/>
      <c r="K49" s="211"/>
      <c r="L49" s="211"/>
      <c r="M49" s="211"/>
      <c r="N49" s="211"/>
      <c r="O49" s="211"/>
      <c r="P49" s="199">
        <v>30.0</v>
      </c>
      <c r="Q49" s="211"/>
      <c r="R49" s="211"/>
      <c r="S49" s="211"/>
      <c r="T49" s="211"/>
      <c r="U49" s="211"/>
      <c r="V49" s="211"/>
      <c r="W49" s="211"/>
      <c r="X49" s="177"/>
      <c r="AE49" s="172"/>
      <c r="AF49" s="172"/>
      <c r="AG49" s="172"/>
    </row>
    <row r="50">
      <c r="B50" s="194"/>
      <c r="C50" s="195"/>
      <c r="D50" s="198"/>
      <c r="E50" s="198"/>
      <c r="F50" s="205"/>
      <c r="G50" s="205"/>
      <c r="H50" s="205"/>
      <c r="I50" s="197">
        <v>3.0</v>
      </c>
      <c r="J50" s="205"/>
      <c r="K50" s="205"/>
      <c r="L50" s="205"/>
      <c r="M50" s="205"/>
      <c r="N50" s="205"/>
      <c r="O50" s="205"/>
      <c r="P50" s="197">
        <v>5.0</v>
      </c>
      <c r="Q50" s="205"/>
      <c r="R50" s="205"/>
      <c r="S50" s="205"/>
      <c r="T50" s="205"/>
      <c r="U50" s="205"/>
      <c r="V50" s="205"/>
      <c r="W50" s="205"/>
      <c r="X50" s="189"/>
    </row>
    <row r="51">
      <c r="B51" s="173" t="s">
        <v>203</v>
      </c>
      <c r="C51" s="174">
        <v>8.0</v>
      </c>
      <c r="D51" s="75"/>
      <c r="E51" s="75"/>
      <c r="I51" s="168"/>
      <c r="P51" s="168">
        <v>40.0</v>
      </c>
    </row>
    <row r="52">
      <c r="B52" s="172"/>
      <c r="C52" s="172"/>
      <c r="D52" s="75"/>
      <c r="E52" s="75"/>
      <c r="I52" s="168"/>
      <c r="P52" s="168">
        <v>3.0</v>
      </c>
    </row>
    <row r="53">
      <c r="B53" s="173" t="s">
        <v>203</v>
      </c>
      <c r="C53" s="174">
        <v>8.0</v>
      </c>
      <c r="D53" s="75"/>
      <c r="E53" s="75"/>
      <c r="I53" s="168"/>
      <c r="P53" s="168">
        <v>44.0</v>
      </c>
    </row>
    <row r="54">
      <c r="B54" s="172"/>
      <c r="C54" s="172"/>
      <c r="D54" s="75"/>
      <c r="E54" s="75"/>
      <c r="I54" s="168"/>
      <c r="P54" s="168">
        <v>1.0</v>
      </c>
    </row>
    <row r="55">
      <c r="B55" s="173" t="s">
        <v>203</v>
      </c>
      <c r="C55" s="174">
        <v>8.0</v>
      </c>
      <c r="D55" s="75"/>
      <c r="E55" s="75"/>
      <c r="I55" s="168"/>
      <c r="P55" s="168">
        <v>48.0</v>
      </c>
    </row>
    <row r="56">
      <c r="B56" s="172"/>
      <c r="C56" s="172"/>
      <c r="D56" s="75"/>
      <c r="E56" s="75"/>
      <c r="I56" s="168"/>
      <c r="P56" s="168">
        <v>1.0</v>
      </c>
    </row>
    <row r="57">
      <c r="B57" s="173" t="s">
        <v>203</v>
      </c>
      <c r="C57" s="174">
        <v>8.0</v>
      </c>
      <c r="D57" s="75"/>
      <c r="E57" s="75"/>
      <c r="I57" s="168"/>
      <c r="P57" s="168">
        <v>50.0</v>
      </c>
    </row>
    <row r="58">
      <c r="B58" s="172"/>
      <c r="C58" s="172"/>
      <c r="D58" s="75"/>
      <c r="E58" s="75"/>
      <c r="I58" s="168"/>
      <c r="P58" s="168">
        <v>1.0</v>
      </c>
    </row>
    <row r="59">
      <c r="B59" s="173" t="s">
        <v>203</v>
      </c>
      <c r="C59" s="174">
        <v>8.0</v>
      </c>
      <c r="D59" s="75"/>
      <c r="E59" s="75"/>
      <c r="I59" s="168"/>
      <c r="P59" s="168">
        <v>51.0</v>
      </c>
    </row>
    <row r="60">
      <c r="B60" s="172"/>
      <c r="C60" s="172"/>
      <c r="D60" s="75"/>
      <c r="E60" s="75"/>
      <c r="I60" s="168"/>
      <c r="P60" s="168">
        <v>1.0</v>
      </c>
    </row>
    <row r="61">
      <c r="B61" s="101" t="s">
        <v>168</v>
      </c>
      <c r="C61" s="101">
        <v>8.0</v>
      </c>
      <c r="D61" s="75"/>
      <c r="E61" s="75"/>
      <c r="I61" s="168">
        <v>30.0</v>
      </c>
      <c r="J61" s="168">
        <v>34.0</v>
      </c>
      <c r="K61" s="3">
        <v>30.0</v>
      </c>
      <c r="L61" s="3">
        <v>30.0</v>
      </c>
      <c r="Q61" s="168">
        <v>41.0</v>
      </c>
    </row>
    <row r="62">
      <c r="B62" s="172"/>
      <c r="C62" s="172"/>
      <c r="D62" s="75"/>
      <c r="E62" s="75"/>
      <c r="I62" s="168">
        <v>3.0</v>
      </c>
      <c r="J62" s="168">
        <v>5.0</v>
      </c>
      <c r="K62" s="3">
        <v>3.0</v>
      </c>
      <c r="L62" s="3">
        <v>3.0</v>
      </c>
      <c r="Q62" s="168">
        <v>8.0</v>
      </c>
    </row>
    <row r="63">
      <c r="B63" s="101" t="s">
        <v>168</v>
      </c>
      <c r="C63" s="101">
        <v>8.0</v>
      </c>
      <c r="D63" s="75"/>
      <c r="E63" s="75"/>
      <c r="I63" s="168">
        <v>34.0</v>
      </c>
      <c r="J63" s="168">
        <v>38.0</v>
      </c>
      <c r="K63" s="3">
        <v>40.0</v>
      </c>
      <c r="L63" s="3">
        <v>40.0</v>
      </c>
      <c r="Q63" s="168">
        <v>45.0</v>
      </c>
    </row>
    <row r="64">
      <c r="B64" s="172"/>
      <c r="C64" s="172"/>
      <c r="D64" s="75"/>
      <c r="E64" s="75"/>
      <c r="I64" s="168">
        <v>3.0</v>
      </c>
      <c r="J64" s="168">
        <v>4.0</v>
      </c>
      <c r="K64" s="3">
        <v>3.0</v>
      </c>
      <c r="L64" s="3">
        <v>3.0</v>
      </c>
      <c r="Q64" s="168">
        <v>5.0</v>
      </c>
    </row>
    <row r="65">
      <c r="B65" s="101" t="s">
        <v>168</v>
      </c>
      <c r="C65" s="101">
        <v>8.0</v>
      </c>
      <c r="D65" s="75"/>
      <c r="E65" s="75"/>
      <c r="I65" s="168">
        <v>38.0</v>
      </c>
      <c r="J65" s="168">
        <v>40.0</v>
      </c>
      <c r="K65" s="168">
        <v>47.0</v>
      </c>
      <c r="L65" s="168">
        <v>49.0</v>
      </c>
      <c r="Q65" s="168">
        <v>49.0</v>
      </c>
    </row>
    <row r="66">
      <c r="B66" s="172"/>
      <c r="C66" s="172"/>
      <c r="D66" s="75"/>
      <c r="E66" s="75"/>
      <c r="I66" s="168">
        <v>3.0</v>
      </c>
      <c r="J66" s="168">
        <v>5.0</v>
      </c>
      <c r="K66" s="168">
        <v>1.0</v>
      </c>
      <c r="L66" s="168">
        <v>1.0</v>
      </c>
      <c r="Q66" s="168">
        <v>2.0</v>
      </c>
    </row>
    <row r="67">
      <c r="B67" s="101" t="s">
        <v>168</v>
      </c>
      <c r="C67" s="101">
        <v>8.0</v>
      </c>
      <c r="D67" s="75"/>
      <c r="E67" s="75"/>
      <c r="I67" s="168"/>
      <c r="J67" s="168">
        <v>42.0</v>
      </c>
      <c r="K67" s="168">
        <v>48.0</v>
      </c>
      <c r="L67" s="168">
        <v>40.0</v>
      </c>
      <c r="Q67" s="183">
        <v>51.0</v>
      </c>
    </row>
    <row r="68">
      <c r="B68" s="172"/>
      <c r="C68" s="172"/>
      <c r="D68" s="75"/>
      <c r="E68" s="75"/>
      <c r="I68" s="168"/>
      <c r="J68" s="168">
        <v>4.0</v>
      </c>
      <c r="K68" s="168">
        <v>1.0</v>
      </c>
      <c r="L68" s="168">
        <v>6.0</v>
      </c>
      <c r="Q68" s="183">
        <v>1.0</v>
      </c>
    </row>
    <row r="69">
      <c r="B69" s="101" t="s">
        <v>168</v>
      </c>
      <c r="C69" s="101">
        <v>8.0</v>
      </c>
      <c r="D69" s="75"/>
      <c r="E69" s="75"/>
      <c r="I69" s="168"/>
      <c r="J69" s="168">
        <v>44.0</v>
      </c>
      <c r="K69" s="168">
        <v>39.0</v>
      </c>
    </row>
    <row r="70">
      <c r="B70" s="172"/>
      <c r="C70" s="172"/>
      <c r="D70" s="75"/>
      <c r="E70" s="75"/>
      <c r="I70" s="168"/>
      <c r="J70" s="168">
        <v>3.0</v>
      </c>
      <c r="K70" s="168">
        <v>10.0</v>
      </c>
    </row>
    <row r="71">
      <c r="B71" s="101" t="s">
        <v>168</v>
      </c>
      <c r="C71" s="101">
        <v>8.0</v>
      </c>
      <c r="D71" s="75"/>
      <c r="E71" s="75"/>
      <c r="I71" s="168"/>
      <c r="J71" s="168">
        <v>46.0</v>
      </c>
    </row>
    <row r="72">
      <c r="B72" s="172"/>
      <c r="C72" s="172"/>
      <c r="D72" s="75"/>
      <c r="E72" s="75"/>
      <c r="I72" s="168"/>
      <c r="J72" s="168">
        <v>2.0</v>
      </c>
    </row>
    <row r="73">
      <c r="B73" s="173" t="s">
        <v>163</v>
      </c>
      <c r="C73" s="174">
        <v>8.0</v>
      </c>
      <c r="D73" s="75"/>
      <c r="E73" s="75"/>
      <c r="I73" s="168"/>
      <c r="J73" s="168"/>
      <c r="Q73" s="3">
        <v>70.0</v>
      </c>
    </row>
    <row r="74">
      <c r="B74" s="172"/>
      <c r="C74" s="172"/>
      <c r="D74" s="75"/>
      <c r="E74" s="75"/>
      <c r="I74" s="168"/>
      <c r="J74" s="168"/>
      <c r="Q74" s="3">
        <v>3.0</v>
      </c>
      <c r="Y74" s="172"/>
      <c r="Z74" s="172"/>
      <c r="AA74" s="172"/>
      <c r="AB74" s="172"/>
      <c r="AC74" s="172"/>
      <c r="AD74" s="172"/>
    </row>
    <row r="75">
      <c r="B75" s="173" t="s">
        <v>163</v>
      </c>
      <c r="C75" s="174">
        <v>8.0</v>
      </c>
      <c r="D75" s="75"/>
      <c r="E75" s="75"/>
      <c r="I75" s="168"/>
      <c r="J75" s="168"/>
      <c r="Q75" s="3">
        <v>70.0</v>
      </c>
      <c r="Y75" s="172"/>
      <c r="Z75" s="172"/>
      <c r="AA75" s="172"/>
      <c r="AB75" s="172"/>
      <c r="AC75" s="172"/>
      <c r="AD75" s="172"/>
    </row>
    <row r="76">
      <c r="B76" s="172"/>
      <c r="C76" s="172"/>
      <c r="D76" s="75"/>
      <c r="E76" s="75"/>
      <c r="I76" s="168"/>
      <c r="J76" s="168"/>
      <c r="Q76" s="3">
        <v>3.0</v>
      </c>
    </row>
    <row r="77">
      <c r="B77" s="173" t="s">
        <v>163</v>
      </c>
      <c r="C77" s="174">
        <v>8.0</v>
      </c>
      <c r="D77" s="75"/>
      <c r="E77" s="75"/>
      <c r="I77" s="168"/>
      <c r="J77" s="168"/>
      <c r="Q77" s="168">
        <v>70.0</v>
      </c>
    </row>
    <row r="78">
      <c r="B78" s="172"/>
      <c r="C78" s="172"/>
      <c r="D78" s="75"/>
      <c r="E78" s="75"/>
      <c r="I78" s="168"/>
      <c r="J78" s="168"/>
      <c r="Q78" s="168">
        <v>5.0</v>
      </c>
    </row>
    <row r="79">
      <c r="B79" s="166" t="s">
        <v>160</v>
      </c>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row>
    <row r="80">
      <c r="B80" s="172"/>
      <c r="C80" s="172"/>
      <c r="D80" s="75"/>
      <c r="E80" s="75"/>
      <c r="F80" s="212" t="s">
        <v>229</v>
      </c>
    </row>
    <row r="81">
      <c r="B81" s="172"/>
      <c r="C81" s="172"/>
      <c r="D81" s="75"/>
      <c r="E81" s="75"/>
      <c r="M81" s="3" t="s">
        <v>230</v>
      </c>
    </row>
    <row r="82">
      <c r="B82" s="172"/>
      <c r="C82" s="172"/>
      <c r="D82" s="75"/>
      <c r="E82" s="75"/>
      <c r="M82" s="3" t="s">
        <v>231</v>
      </c>
    </row>
    <row r="83">
      <c r="B83" s="172"/>
      <c r="C83" s="172"/>
      <c r="D83" s="75"/>
      <c r="E83" s="75"/>
      <c r="M83" s="3" t="s">
        <v>232</v>
      </c>
    </row>
    <row r="84">
      <c r="B84" s="172"/>
      <c r="C84" s="172"/>
      <c r="D84" s="75"/>
      <c r="E84" s="75"/>
      <c r="I84" s="168"/>
      <c r="J84" s="168"/>
    </row>
    <row r="85">
      <c r="B85" s="166"/>
      <c r="C85" s="172"/>
      <c r="D85" s="172"/>
      <c r="E85" s="172"/>
    </row>
    <row r="86">
      <c r="B86" s="172"/>
      <c r="C86" s="172"/>
      <c r="D86" s="75"/>
      <c r="E86" s="75"/>
    </row>
    <row r="87">
      <c r="B87" s="172"/>
      <c r="C87" s="172"/>
      <c r="D87" s="75"/>
      <c r="E87" s="75"/>
    </row>
    <row r="88">
      <c r="B88" s="172"/>
      <c r="C88" s="172"/>
      <c r="D88" s="75"/>
      <c r="E88" s="75"/>
    </row>
    <row r="89">
      <c r="B89" s="172"/>
      <c r="C89" s="172"/>
      <c r="D89" s="75"/>
      <c r="E89"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t="s">
        <v>224</v>
      </c>
      <c r="E1" s="108" t="s">
        <v>224</v>
      </c>
      <c r="F1" s="3" t="s">
        <v>224</v>
      </c>
      <c r="G1" s="3" t="s">
        <v>224</v>
      </c>
      <c r="H1" s="116" t="s">
        <v>160</v>
      </c>
    </row>
    <row r="2">
      <c r="B2" s="101"/>
      <c r="C2" s="170"/>
      <c r="D2" s="124"/>
      <c r="E2" s="124"/>
      <c r="F2" s="116"/>
      <c r="G2" s="124"/>
    </row>
    <row r="3">
      <c r="B3" s="101"/>
      <c r="C3" s="170"/>
      <c r="D3" s="124">
        <v>45862.0</v>
      </c>
      <c r="E3" s="124">
        <v>45869.0</v>
      </c>
      <c r="F3" s="124">
        <v>45876.0</v>
      </c>
      <c r="G3" s="124">
        <v>45883.0</v>
      </c>
      <c r="M3" s="101" t="s">
        <v>233</v>
      </c>
      <c r="N3" s="170"/>
      <c r="O3" s="171">
        <v>45862.0</v>
      </c>
      <c r="P3" s="124">
        <v>45869.0</v>
      </c>
      <c r="Q3" s="124">
        <v>45876.0</v>
      </c>
      <c r="R3" s="124">
        <v>45883.0</v>
      </c>
    </row>
    <row r="4">
      <c r="B4" s="101"/>
      <c r="C4" s="101"/>
      <c r="D4" s="3">
        <v>67.0</v>
      </c>
      <c r="E4" s="3">
        <v>66.8</v>
      </c>
      <c r="F4" s="3">
        <v>68.0</v>
      </c>
      <c r="G4" s="3">
        <v>67.9</v>
      </c>
      <c r="M4" s="172"/>
      <c r="N4" s="101"/>
      <c r="O4" s="108" t="s">
        <v>224</v>
      </c>
      <c r="P4" s="108" t="s">
        <v>224</v>
      </c>
      <c r="Q4" s="3" t="s">
        <v>224</v>
      </c>
    </row>
    <row r="5">
      <c r="A5" s="3" t="s">
        <v>234</v>
      </c>
      <c r="B5" s="173" t="s">
        <v>235</v>
      </c>
      <c r="C5" s="174"/>
      <c r="D5" s="175">
        <v>0.0</v>
      </c>
      <c r="E5" s="3">
        <v>0.0</v>
      </c>
      <c r="F5" s="3">
        <v>0.0</v>
      </c>
      <c r="G5" s="3">
        <v>0.0</v>
      </c>
      <c r="N5" s="101" t="s">
        <v>233</v>
      </c>
      <c r="O5" s="170"/>
      <c r="P5" s="171">
        <v>45862.0</v>
      </c>
      <c r="Q5" s="124">
        <v>45869.0</v>
      </c>
      <c r="R5" s="124">
        <v>45876.0</v>
      </c>
      <c r="S5" s="124">
        <v>45883.0</v>
      </c>
    </row>
    <row r="6">
      <c r="B6" s="178"/>
      <c r="C6" s="101"/>
      <c r="D6" s="108">
        <v>8.0</v>
      </c>
      <c r="E6" s="3">
        <v>10.0</v>
      </c>
      <c r="F6" s="3">
        <v>12.0</v>
      </c>
      <c r="G6" s="3">
        <v>12.0</v>
      </c>
      <c r="N6" s="172"/>
      <c r="O6" s="101"/>
      <c r="P6" s="108" t="s">
        <v>224</v>
      </c>
      <c r="Q6" s="108" t="s">
        <v>224</v>
      </c>
      <c r="R6" s="3" t="s">
        <v>224</v>
      </c>
    </row>
    <row r="7">
      <c r="A7" s="3" t="s">
        <v>236</v>
      </c>
      <c r="B7" s="180" t="s">
        <v>237</v>
      </c>
      <c r="C7" s="101">
        <v>8.0</v>
      </c>
      <c r="D7" s="108">
        <v>62.0</v>
      </c>
      <c r="E7" s="3">
        <v>62.5</v>
      </c>
      <c r="F7" s="3">
        <v>63.0</v>
      </c>
      <c r="G7" s="3">
        <v>64.0</v>
      </c>
      <c r="H7" s="181"/>
      <c r="N7" s="173" t="s">
        <v>235</v>
      </c>
      <c r="O7" s="174"/>
      <c r="P7" s="175">
        <v>0.0</v>
      </c>
      <c r="Q7" s="3">
        <v>0.0</v>
      </c>
      <c r="R7" s="3">
        <v>0.0</v>
      </c>
      <c r="S7" s="3">
        <v>0.0</v>
      </c>
    </row>
    <row r="8">
      <c r="B8" s="178"/>
      <c r="C8" s="101"/>
      <c r="D8" s="108">
        <v>1.0</v>
      </c>
      <c r="E8" s="3">
        <v>1.0</v>
      </c>
      <c r="F8" s="3">
        <v>1.0</v>
      </c>
      <c r="G8" s="3">
        <v>1.0</v>
      </c>
      <c r="H8" s="179"/>
      <c r="N8" s="178"/>
      <c r="O8" s="101"/>
      <c r="P8" s="108">
        <v>8.0</v>
      </c>
      <c r="Q8" s="3">
        <v>10.0</v>
      </c>
      <c r="R8" s="3">
        <v>12.0</v>
      </c>
      <c r="S8" s="3">
        <v>12.0</v>
      </c>
    </row>
    <row r="9">
      <c r="B9" s="180" t="s">
        <v>237</v>
      </c>
      <c r="C9" s="101">
        <v>8.0</v>
      </c>
      <c r="D9" s="108">
        <v>62.0</v>
      </c>
      <c r="E9" s="3">
        <v>62.5</v>
      </c>
      <c r="F9" s="3">
        <v>63.0</v>
      </c>
      <c r="G9" s="3">
        <v>64.0</v>
      </c>
      <c r="H9" s="179"/>
      <c r="N9" s="180" t="s">
        <v>237</v>
      </c>
      <c r="O9" s="101">
        <v>8.0</v>
      </c>
      <c r="P9" s="108">
        <v>62.0</v>
      </c>
      <c r="Q9" s="3">
        <v>62.5</v>
      </c>
      <c r="R9" s="3">
        <v>63.0</v>
      </c>
      <c r="S9" s="3">
        <v>64.0</v>
      </c>
    </row>
    <row r="10">
      <c r="B10" s="178"/>
      <c r="C10" s="101"/>
      <c r="D10" s="108">
        <v>1.0</v>
      </c>
      <c r="E10" s="3">
        <v>1.0</v>
      </c>
      <c r="F10" s="3">
        <v>1.0</v>
      </c>
      <c r="G10" s="3">
        <v>1.0</v>
      </c>
      <c r="H10" s="179"/>
      <c r="N10" s="178"/>
      <c r="O10" s="101"/>
      <c r="P10" s="108">
        <v>1.0</v>
      </c>
      <c r="Q10" s="3">
        <v>1.0</v>
      </c>
      <c r="R10" s="3">
        <v>1.0</v>
      </c>
      <c r="S10" s="3">
        <v>1.0</v>
      </c>
    </row>
    <row r="11">
      <c r="B11" s="166" t="s">
        <v>160</v>
      </c>
      <c r="C11" s="101"/>
      <c r="D11" s="182"/>
      <c r="E11" s="3"/>
      <c r="F11" s="3"/>
      <c r="G11" s="3"/>
      <c r="H11" s="181"/>
      <c r="N11" s="180" t="s">
        <v>237</v>
      </c>
      <c r="O11" s="101">
        <v>8.0</v>
      </c>
      <c r="P11" s="108">
        <v>62.0</v>
      </c>
      <c r="Q11" s="3">
        <v>62.5</v>
      </c>
      <c r="R11" s="3">
        <v>63.0</v>
      </c>
      <c r="S11" s="3">
        <v>64.0</v>
      </c>
    </row>
    <row r="12">
      <c r="B12" s="166"/>
      <c r="C12" s="101"/>
      <c r="D12" s="182"/>
      <c r="N12" s="178"/>
      <c r="O12" s="101"/>
      <c r="P12" s="108">
        <v>1.0</v>
      </c>
      <c r="Q12" s="3">
        <v>1.0</v>
      </c>
      <c r="R12" s="3">
        <v>1.0</v>
      </c>
      <c r="S12" s="3">
        <v>1.0</v>
      </c>
    </row>
    <row r="13">
      <c r="B13" s="180"/>
      <c r="C13" s="101"/>
      <c r="D13" s="108"/>
    </row>
    <row r="14">
      <c r="B14" s="184"/>
      <c r="C14" s="185"/>
      <c r="D14" s="186"/>
      <c r="N14" s="101"/>
      <c r="P14" s="108"/>
      <c r="Q14" s="108"/>
    </row>
    <row r="15">
      <c r="B15" s="173"/>
      <c r="C15" s="174"/>
      <c r="D15" s="175"/>
      <c r="N15" s="101"/>
      <c r="O15" s="170"/>
      <c r="P15" s="171"/>
      <c r="Q15" s="124"/>
      <c r="R15" s="124"/>
      <c r="S15" s="124"/>
    </row>
    <row r="16">
      <c r="B16" s="178"/>
      <c r="C16" s="101"/>
      <c r="D16" s="108"/>
      <c r="N16" s="101" t="s">
        <v>238</v>
      </c>
      <c r="P16" s="108" t="s">
        <v>224</v>
      </c>
      <c r="Q16" s="108" t="s">
        <v>224</v>
      </c>
      <c r="R16" s="3" t="s">
        <v>224</v>
      </c>
    </row>
    <row r="17">
      <c r="B17" s="180"/>
      <c r="C17" s="101"/>
      <c r="D17" s="108"/>
      <c r="N17" s="101" t="s">
        <v>239</v>
      </c>
      <c r="O17" s="170"/>
      <c r="P17" s="171"/>
      <c r="Q17" s="124"/>
      <c r="R17" s="116" t="s">
        <v>240</v>
      </c>
      <c r="S17" s="124"/>
    </row>
    <row r="18">
      <c r="B18" s="178"/>
      <c r="C18" s="172"/>
      <c r="D18" s="108"/>
      <c r="N18" s="101"/>
      <c r="O18" s="170"/>
      <c r="P18" s="171">
        <v>45862.0</v>
      </c>
      <c r="Q18" s="124">
        <v>45869.0</v>
      </c>
      <c r="R18" s="124">
        <v>45876.0</v>
      </c>
      <c r="S18" s="124">
        <v>45883.0</v>
      </c>
    </row>
    <row r="19">
      <c r="B19" s="180"/>
      <c r="C19" s="101"/>
      <c r="D19" s="108"/>
      <c r="I19" s="15" t="s">
        <v>26</v>
      </c>
      <c r="J19" s="190">
        <v>63.0</v>
      </c>
      <c r="K19" s="3" t="s">
        <v>26</v>
      </c>
      <c r="L19" s="191">
        <f>IF(L20&lt;10, 2*L21 / (1/(1.0278 - 0.0278*L20) + L20^0.1), 2*L21 / ((1 + 0.0333*L20) + L20^0.1))</f>
        <v>48.22102825</v>
      </c>
      <c r="N19" s="101" t="s">
        <v>241</v>
      </c>
      <c r="O19" s="101"/>
      <c r="P19" s="3">
        <v>68.0</v>
      </c>
      <c r="Q19" s="3">
        <v>67.0</v>
      </c>
      <c r="R19" s="3">
        <v>67.0</v>
      </c>
      <c r="S19" s="3">
        <v>66.5</v>
      </c>
    </row>
    <row r="20">
      <c r="B20" s="178"/>
      <c r="C20" s="172"/>
      <c r="D20" s="108"/>
      <c r="I20" s="15" t="s">
        <v>37</v>
      </c>
      <c r="J20" s="190">
        <v>2.0</v>
      </c>
      <c r="K20" s="3" t="s">
        <v>227</v>
      </c>
      <c r="L20" s="192">
        <v>4.0</v>
      </c>
      <c r="N20" s="173" t="s">
        <v>235</v>
      </c>
      <c r="O20" s="174"/>
      <c r="P20" s="175">
        <v>0.0</v>
      </c>
      <c r="Q20" s="3">
        <v>0.0</v>
      </c>
      <c r="R20" s="3">
        <v>0.0</v>
      </c>
      <c r="S20" s="3">
        <v>0.0</v>
      </c>
    </row>
    <row r="21">
      <c r="B21" s="180"/>
      <c r="C21" s="101"/>
      <c r="D21" s="108"/>
      <c r="I21" s="15" t="s">
        <v>36</v>
      </c>
      <c r="J21" s="43">
        <f>ROUND(IF(J20&lt;10,AVERAGE(J19/(1.0278-0.0278*J20),J19*J20^0.1),AVERAGE(J19*(1+0.0333*J20),J19*J20^0.1)),1)</f>
        <v>66.2</v>
      </c>
      <c r="K21" s="3" t="s">
        <v>228</v>
      </c>
      <c r="L21" s="192">
        <v>54.0</v>
      </c>
      <c r="N21" s="178"/>
      <c r="O21" s="101"/>
      <c r="P21" s="108">
        <v>8.0</v>
      </c>
      <c r="Q21" s="3">
        <v>10.0</v>
      </c>
      <c r="R21" s="3">
        <v>12.0</v>
      </c>
      <c r="S21" s="3">
        <v>12.0</v>
      </c>
    </row>
    <row r="22">
      <c r="B22" s="178"/>
      <c r="C22" s="172"/>
      <c r="D22" s="108"/>
      <c r="N22" s="180" t="s">
        <v>237</v>
      </c>
      <c r="O22" s="101">
        <v>8.0</v>
      </c>
      <c r="P22" s="108">
        <v>62.0</v>
      </c>
      <c r="Q22" s="3">
        <v>62.5</v>
      </c>
      <c r="R22" s="3">
        <v>63.0</v>
      </c>
      <c r="S22" s="3">
        <v>64.0</v>
      </c>
    </row>
    <row r="23">
      <c r="B23" s="180"/>
      <c r="C23" s="101"/>
      <c r="D23" s="182"/>
      <c r="N23" s="178"/>
      <c r="O23" s="101"/>
      <c r="P23" s="108">
        <v>1.0</v>
      </c>
      <c r="Q23" s="3">
        <v>1.0</v>
      </c>
      <c r="R23" s="3">
        <v>1.0</v>
      </c>
      <c r="S23" s="3">
        <v>1.0</v>
      </c>
    </row>
    <row r="24">
      <c r="B24" s="194"/>
      <c r="C24" s="195"/>
      <c r="D24" s="196"/>
      <c r="I24" s="15" t="s">
        <v>26</v>
      </c>
      <c r="J24" s="68">
        <v>48.0</v>
      </c>
      <c r="N24" s="180" t="s">
        <v>237</v>
      </c>
      <c r="O24" s="101">
        <v>8.0</v>
      </c>
      <c r="P24" s="108">
        <v>62.0</v>
      </c>
      <c r="Q24" s="3">
        <v>62.5</v>
      </c>
      <c r="R24" s="3">
        <v>63.0</v>
      </c>
      <c r="S24" s="3">
        <v>64.0</v>
      </c>
    </row>
    <row r="25">
      <c r="B25" s="173"/>
      <c r="C25" s="174"/>
      <c r="D25" s="175"/>
      <c r="I25" s="15" t="s">
        <v>37</v>
      </c>
      <c r="J25" s="68">
        <v>4.0</v>
      </c>
      <c r="N25" s="178"/>
      <c r="O25" s="101"/>
      <c r="P25" s="108">
        <v>1.0</v>
      </c>
      <c r="Q25" s="3">
        <v>1.0</v>
      </c>
      <c r="R25" s="3">
        <v>1.0</v>
      </c>
      <c r="S25" s="3">
        <v>1.0</v>
      </c>
    </row>
    <row r="26">
      <c r="B26" s="178"/>
      <c r="C26" s="172"/>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s>
  <sheetData>
    <row r="1">
      <c r="B1" s="101" t="s">
        <v>242</v>
      </c>
      <c r="D1" s="108"/>
      <c r="E1" s="116" t="s">
        <v>160</v>
      </c>
    </row>
    <row r="2">
      <c r="B2" s="101"/>
      <c r="C2" s="170"/>
      <c r="D2" s="124"/>
      <c r="E2" s="124"/>
    </row>
    <row r="3">
      <c r="B3" s="101"/>
      <c r="C3" s="170"/>
      <c r="D3" s="124">
        <v>45924.0</v>
      </c>
      <c r="E3" s="124"/>
    </row>
    <row r="4">
      <c r="B4" s="101"/>
      <c r="C4" s="101"/>
      <c r="D4" s="3">
        <v>66.3</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row>
    <row r="12">
      <c r="B12" s="178"/>
      <c r="C12" s="101"/>
      <c r="D12" s="182">
        <v>10.0</v>
      </c>
    </row>
    <row r="13">
      <c r="B13" s="180" t="s">
        <v>237</v>
      </c>
      <c r="C13" s="101">
        <v>8.0</v>
      </c>
      <c r="D13" s="108">
        <v>60.0</v>
      </c>
    </row>
    <row r="14">
      <c r="B14" s="184"/>
      <c r="C14" s="185"/>
      <c r="D14" s="186">
        <v>1.0</v>
      </c>
    </row>
    <row r="15">
      <c r="B15" s="180" t="s">
        <v>237</v>
      </c>
      <c r="C15" s="101">
        <v>8.0</v>
      </c>
      <c r="D15" s="175">
        <v>62.0</v>
      </c>
    </row>
    <row r="16">
      <c r="B16" s="184"/>
      <c r="C16" s="185"/>
      <c r="D16" s="108">
        <v>1.0</v>
      </c>
    </row>
    <row r="17">
      <c r="B17" s="180" t="s">
        <v>237</v>
      </c>
      <c r="C17" s="101">
        <v>8.0</v>
      </c>
      <c r="D17" s="108">
        <v>64.0</v>
      </c>
    </row>
    <row r="18">
      <c r="B18" s="184"/>
      <c r="C18" s="185"/>
      <c r="D18" s="108">
        <v>1.0</v>
      </c>
    </row>
    <row r="19">
      <c r="B19" s="180" t="s">
        <v>237</v>
      </c>
      <c r="C19" s="101">
        <v>8.0</v>
      </c>
      <c r="D19" s="108">
        <v>66.0</v>
      </c>
    </row>
    <row r="20">
      <c r="B20" s="184"/>
      <c r="C20" s="185"/>
      <c r="D20" s="108">
        <v>1.0</v>
      </c>
    </row>
    <row r="21">
      <c r="B21" s="180" t="s">
        <v>197</v>
      </c>
      <c r="C21" s="101"/>
      <c r="D21" s="108" t="s">
        <v>145</v>
      </c>
    </row>
    <row r="22">
      <c r="B22" s="178"/>
      <c r="C22" s="172"/>
      <c r="D22" s="108">
        <v>10.0</v>
      </c>
    </row>
    <row r="23">
      <c r="B23" s="180" t="s">
        <v>197</v>
      </c>
      <c r="C23" s="101"/>
      <c r="D23" s="108" t="s">
        <v>145</v>
      </c>
    </row>
    <row r="24">
      <c r="B24" s="178"/>
      <c r="C24" s="172"/>
      <c r="D24" s="108">
        <v>10.0</v>
      </c>
    </row>
    <row r="25">
      <c r="B25" s="180" t="s">
        <v>197</v>
      </c>
      <c r="C25" s="101"/>
      <c r="D25" s="108" t="s">
        <v>145</v>
      </c>
    </row>
    <row r="26">
      <c r="B26" s="178"/>
      <c r="C26" s="172"/>
      <c r="D26" s="108">
        <v>10.0</v>
      </c>
    </row>
    <row r="27">
      <c r="B27" s="180" t="s">
        <v>170</v>
      </c>
      <c r="C27" s="172"/>
      <c r="D27" s="3">
        <v>7.0</v>
      </c>
    </row>
    <row r="28">
      <c r="B28" s="178"/>
      <c r="C28" s="172"/>
      <c r="D28" s="3">
        <v>12.0</v>
      </c>
    </row>
    <row r="29">
      <c r="B29" s="180" t="s">
        <v>170</v>
      </c>
      <c r="C29" s="172"/>
      <c r="D29" s="3">
        <v>7.0</v>
      </c>
    </row>
    <row r="30">
      <c r="B30" s="178"/>
      <c r="C30" s="172"/>
      <c r="D30" s="3">
        <v>12.0</v>
      </c>
    </row>
    <row r="31">
      <c r="B31" s="180" t="s">
        <v>170</v>
      </c>
      <c r="C31" s="172"/>
      <c r="D31" s="3">
        <v>7.0</v>
      </c>
    </row>
    <row r="32">
      <c r="B32" s="178"/>
      <c r="C32" s="172"/>
      <c r="D32" s="3">
        <v>12.0</v>
      </c>
    </row>
    <row r="33">
      <c r="B33" s="180" t="s">
        <v>157</v>
      </c>
      <c r="C33" s="172"/>
      <c r="D33" s="3">
        <v>12.0</v>
      </c>
    </row>
    <row r="34">
      <c r="B34" s="178"/>
      <c r="C34" s="172"/>
      <c r="D34" s="3">
        <v>10.0</v>
      </c>
    </row>
    <row r="35">
      <c r="B35" s="180" t="s">
        <v>157</v>
      </c>
      <c r="C35" s="172"/>
      <c r="D35" s="3">
        <v>12.0</v>
      </c>
    </row>
    <row r="36">
      <c r="B36" s="178"/>
      <c r="C36" s="172"/>
      <c r="D36" s="3">
        <v>10.0</v>
      </c>
    </row>
    <row r="37">
      <c r="B37" s="180" t="s">
        <v>157</v>
      </c>
      <c r="C37" s="172"/>
      <c r="D37" s="3">
        <v>12.0</v>
      </c>
    </row>
    <row r="38">
      <c r="B38" s="178"/>
      <c r="C38" s="172"/>
      <c r="D38" s="3">
        <v>10.0</v>
      </c>
    </row>
    <row r="39">
      <c r="B39" s="180" t="s">
        <v>157</v>
      </c>
      <c r="C39" s="172"/>
      <c r="D39" s="3">
        <v>12.0</v>
      </c>
    </row>
    <row r="40">
      <c r="B40" s="178"/>
      <c r="C40" s="172"/>
      <c r="D40" s="3">
        <v>10.0</v>
      </c>
    </row>
    <row r="41">
      <c r="B41" s="180" t="s">
        <v>157</v>
      </c>
      <c r="C41" s="172"/>
      <c r="D41" s="3">
        <v>12.0</v>
      </c>
    </row>
    <row r="42">
      <c r="B42" s="178"/>
      <c r="C42" s="172"/>
      <c r="D42" s="3">
        <v>10.0</v>
      </c>
    </row>
    <row r="43">
      <c r="B43"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243</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244</v>
      </c>
      <c r="B5" s="173" t="s">
        <v>245</v>
      </c>
      <c r="C5" s="174">
        <v>8.0</v>
      </c>
      <c r="D5" s="175">
        <v>20.0</v>
      </c>
    </row>
    <row r="6">
      <c r="B6" s="178"/>
      <c r="C6" s="101"/>
      <c r="D6" s="108">
        <v>5.0</v>
      </c>
    </row>
    <row r="7">
      <c r="A7" s="3" t="s">
        <v>244</v>
      </c>
      <c r="B7" s="173" t="s">
        <v>245</v>
      </c>
      <c r="C7" s="174">
        <v>8.0</v>
      </c>
      <c r="D7" s="108">
        <v>24.0</v>
      </c>
      <c r="H7" s="181"/>
    </row>
    <row r="8">
      <c r="B8" s="178"/>
      <c r="C8" s="101"/>
      <c r="D8" s="108">
        <v>5.0</v>
      </c>
      <c r="H8" s="179"/>
    </row>
    <row r="9">
      <c r="A9" s="3" t="s">
        <v>244</v>
      </c>
      <c r="B9" s="173" t="s">
        <v>245</v>
      </c>
      <c r="C9" s="174">
        <v>8.0</v>
      </c>
      <c r="D9" s="108">
        <v>28.0</v>
      </c>
      <c r="H9" s="179"/>
    </row>
    <row r="10">
      <c r="B10" s="178"/>
      <c r="C10" s="101"/>
      <c r="D10" s="108">
        <v>5.0</v>
      </c>
      <c r="H10" s="179"/>
    </row>
    <row r="11">
      <c r="B11" s="166" t="s">
        <v>245</v>
      </c>
      <c r="C11" s="174">
        <v>8.0</v>
      </c>
      <c r="D11" s="108">
        <v>32.0</v>
      </c>
      <c r="H11" s="181"/>
    </row>
    <row r="12">
      <c r="B12" s="166"/>
      <c r="C12" s="101"/>
      <c r="D12" s="108">
        <v>5.0</v>
      </c>
    </row>
    <row r="13">
      <c r="B13" s="180" t="s">
        <v>245</v>
      </c>
      <c r="C13" s="174">
        <v>8.0</v>
      </c>
      <c r="D13" s="108">
        <v>36.0</v>
      </c>
    </row>
    <row r="14">
      <c r="B14" s="184"/>
      <c r="C14" s="185"/>
      <c r="D14" s="186">
        <v>5.0</v>
      </c>
    </row>
    <row r="15">
      <c r="B15" s="166" t="s">
        <v>246</v>
      </c>
      <c r="C15" s="174">
        <v>8.0</v>
      </c>
      <c r="D15" s="175">
        <v>20.0</v>
      </c>
    </row>
    <row r="16">
      <c r="B16" s="178"/>
      <c r="C16" s="101"/>
      <c r="D16" s="108">
        <v>3.0</v>
      </c>
    </row>
    <row r="17">
      <c r="B17" s="180" t="s">
        <v>245</v>
      </c>
      <c r="C17" s="174">
        <v>8.0</v>
      </c>
      <c r="D17" s="108">
        <v>40.0</v>
      </c>
    </row>
    <row r="18">
      <c r="B18" s="178"/>
      <c r="C18" s="172"/>
      <c r="D18" s="108">
        <v>1.0</v>
      </c>
    </row>
    <row r="19">
      <c r="B19" s="180" t="s">
        <v>245</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245</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205</v>
      </c>
      <c r="C23" s="101">
        <v>8.0</v>
      </c>
      <c r="D23" s="108"/>
    </row>
    <row r="24">
      <c r="B24" s="194"/>
      <c r="C24" s="195"/>
      <c r="D24" s="186"/>
      <c r="I24" s="15" t="s">
        <v>26</v>
      </c>
      <c r="J24" s="68">
        <v>48.0</v>
      </c>
    </row>
    <row r="25">
      <c r="B25" s="173" t="s">
        <v>169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169</v>
      </c>
      <c r="C27" s="174">
        <v>8.0</v>
      </c>
      <c r="E27" s="175">
        <v>30.0</v>
      </c>
    </row>
    <row r="28">
      <c r="B28" s="178"/>
      <c r="C28" s="172"/>
      <c r="E28" s="108">
        <v>3.0</v>
      </c>
    </row>
    <row r="29">
      <c r="B29" s="173" t="s">
        <v>169</v>
      </c>
      <c r="C29" s="174">
        <v>8.0</v>
      </c>
      <c r="E29" s="175">
        <v>30.0</v>
      </c>
    </row>
    <row r="30">
      <c r="E30" s="3">
        <v>3.0</v>
      </c>
    </row>
    <row r="31">
      <c r="B31" s="173" t="s">
        <v>169</v>
      </c>
      <c r="C31" s="174">
        <v>8.0</v>
      </c>
      <c r="E31" s="3">
        <v>34.0</v>
      </c>
    </row>
    <row r="32">
      <c r="E32" s="3">
        <v>2.0</v>
      </c>
    </row>
    <row r="33">
      <c r="B33" s="173" t="s">
        <v>169</v>
      </c>
      <c r="C33" s="174">
        <v>8.0</v>
      </c>
      <c r="E33" s="3">
        <v>34.0</v>
      </c>
    </row>
    <row r="34">
      <c r="E34" s="3">
        <v>2.0</v>
      </c>
    </row>
    <row r="35">
      <c r="B35" s="3" t="s">
        <v>169</v>
      </c>
      <c r="C35" s="3">
        <v>8.0</v>
      </c>
      <c r="E35" s="3">
        <v>38.0</v>
      </c>
    </row>
    <row r="36">
      <c r="E36" s="3">
        <v>1.0</v>
      </c>
    </row>
    <row r="37">
      <c r="B37" s="3" t="s">
        <v>49</v>
      </c>
      <c r="C37" s="3">
        <v>8.0</v>
      </c>
      <c r="E37" s="3">
        <v>30.0</v>
      </c>
    </row>
    <row r="38">
      <c r="E38" s="3">
        <v>20.0</v>
      </c>
    </row>
    <row r="49">
      <c r="B49"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247</v>
      </c>
      <c r="C1" s="170"/>
      <c r="D1" s="124">
        <v>45871.0</v>
      </c>
      <c r="E1" s="116" t="s">
        <v>160</v>
      </c>
    </row>
    <row r="2">
      <c r="B2" s="172"/>
      <c r="C2" s="101"/>
    </row>
    <row r="3">
      <c r="B3" s="173" t="s">
        <v>197</v>
      </c>
      <c r="C3" s="174"/>
      <c r="D3" s="3" t="s">
        <v>145</v>
      </c>
    </row>
    <row r="4">
      <c r="B4" s="178"/>
      <c r="C4" s="101"/>
      <c r="D4" s="3">
        <v>15.0</v>
      </c>
    </row>
    <row r="5">
      <c r="B5" s="173" t="s">
        <v>197</v>
      </c>
      <c r="C5" s="174"/>
      <c r="D5" s="3" t="s">
        <v>145</v>
      </c>
      <c r="E5" s="181"/>
    </row>
    <row r="6">
      <c r="B6" s="178"/>
      <c r="C6" s="101"/>
      <c r="D6" s="3">
        <v>15.0</v>
      </c>
      <c r="E6" s="179"/>
    </row>
    <row r="7">
      <c r="B7" s="173" t="s">
        <v>197</v>
      </c>
      <c r="C7" s="174"/>
      <c r="D7" s="3" t="s">
        <v>145</v>
      </c>
      <c r="E7" s="179"/>
    </row>
    <row r="8">
      <c r="B8" s="178"/>
      <c r="C8" s="101"/>
      <c r="D8" s="3">
        <v>15.0</v>
      </c>
      <c r="E8" s="179"/>
    </row>
    <row r="9">
      <c r="B9" s="166" t="s">
        <v>216</v>
      </c>
      <c r="C9" s="101"/>
      <c r="D9" s="3">
        <v>4.0</v>
      </c>
      <c r="E9" s="181"/>
    </row>
    <row r="10">
      <c r="B10" s="166"/>
      <c r="C10" s="101"/>
      <c r="D10" s="3">
        <v>15.0</v>
      </c>
    </row>
    <row r="11">
      <c r="B11" s="180" t="s">
        <v>216</v>
      </c>
      <c r="C11" s="101"/>
      <c r="D11" s="3">
        <v>4.0</v>
      </c>
    </row>
    <row r="12">
      <c r="B12" s="184"/>
      <c r="C12" s="185"/>
      <c r="D12" s="3">
        <v>15.0</v>
      </c>
    </row>
    <row r="13">
      <c r="B13" s="173" t="s">
        <v>216</v>
      </c>
      <c r="C13" s="174"/>
      <c r="D13" s="3">
        <v>4.0</v>
      </c>
    </row>
    <row r="14">
      <c r="B14" s="178"/>
      <c r="C14" s="101"/>
      <c r="D14" s="3">
        <v>15.0</v>
      </c>
    </row>
    <row r="15">
      <c r="B15" s="180" t="s">
        <v>217</v>
      </c>
      <c r="C15" s="101"/>
      <c r="D15" s="3">
        <v>7.5</v>
      </c>
    </row>
    <row r="16">
      <c r="B16" s="178"/>
      <c r="C16" s="172"/>
      <c r="D16" s="3">
        <v>8.0</v>
      </c>
    </row>
    <row r="17">
      <c r="B17" s="180" t="s">
        <v>217</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217</v>
      </c>
      <c r="C19" s="101"/>
      <c r="D19" s="3">
        <v>7.5</v>
      </c>
      <c r="F19" s="15" t="s">
        <v>36</v>
      </c>
      <c r="G19" s="43">
        <f>ROUND(IF(G18&lt;10,AVERAGE(G17/(1.0278-0.0278*G18),G17*G18^0.1),AVERAGE(G17*(1+0.0333*G18),G17*G18^0.1)),1)</f>
        <v>66.2</v>
      </c>
      <c r="H19" s="3" t="s">
        <v>228</v>
      </c>
      <c r="I19" s="192">
        <v>54.0</v>
      </c>
    </row>
    <row r="20">
      <c r="B20" s="178"/>
      <c r="C20" s="172"/>
      <c r="D20" s="3">
        <v>8.0</v>
      </c>
    </row>
    <row r="21">
      <c r="B21" s="180" t="s">
        <v>248</v>
      </c>
      <c r="C21" s="101"/>
      <c r="D21" s="3">
        <v>7.5</v>
      </c>
    </row>
    <row r="22">
      <c r="B22" s="180"/>
      <c r="C22" s="195"/>
      <c r="D22" s="3">
        <v>10.0</v>
      </c>
      <c r="F22" s="15" t="s">
        <v>26</v>
      </c>
      <c r="G22" s="68">
        <v>48.0</v>
      </c>
    </row>
    <row r="23">
      <c r="B23" s="180" t="s">
        <v>248</v>
      </c>
      <c r="C23" s="174"/>
      <c r="D23" s="3">
        <v>7.5</v>
      </c>
      <c r="F23" s="15" t="s">
        <v>37</v>
      </c>
      <c r="G23" s="68">
        <v>4.0</v>
      </c>
    </row>
    <row r="24">
      <c r="B24" s="180"/>
      <c r="C24" s="172"/>
      <c r="D24" s="3">
        <v>10.0</v>
      </c>
      <c r="F24" s="15" t="s">
        <v>36</v>
      </c>
      <c r="G24" s="43">
        <f>ROUND(IF(G23&lt;10,AVERAGE(G22/(1.0278-0.0278*G23),G22*G23^0.1),AVERAGE(G22*(1+0.0333*G23),G22*G23^0.1)),1)</f>
        <v>53.8</v>
      </c>
    </row>
    <row r="25">
      <c r="B25" s="180" t="s">
        <v>248</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249</v>
      </c>
      <c r="O1" s="128">
        <v>4.0</v>
      </c>
      <c r="P1" s="128">
        <v>8.0</v>
      </c>
      <c r="Q1" s="128">
        <v>43.0</v>
      </c>
      <c r="R1" s="2"/>
      <c r="S1" s="2"/>
      <c r="T1" s="2"/>
      <c r="U1" s="128">
        <v>4.0</v>
      </c>
      <c r="V1" s="128">
        <v>8.0</v>
      </c>
      <c r="W1" s="128">
        <v>43.0</v>
      </c>
      <c r="X1" s="2"/>
      <c r="Y1" s="2"/>
      <c r="Z1" s="2"/>
    </row>
    <row r="2" ht="12.75" customHeight="1">
      <c r="A2" s="2"/>
      <c r="B2" s="2"/>
      <c r="C2" s="2"/>
      <c r="D2" s="2" t="s">
        <v>250</v>
      </c>
      <c r="E2" s="2"/>
      <c r="F2" s="2"/>
      <c r="G2" s="2"/>
      <c r="H2" s="2"/>
      <c r="I2" s="2"/>
      <c r="J2" s="2"/>
      <c r="K2" s="2"/>
      <c r="L2" s="2"/>
      <c r="M2" s="2"/>
      <c r="N2" s="128" t="s">
        <v>251</v>
      </c>
      <c r="O2" s="128">
        <v>3.0</v>
      </c>
      <c r="P2" s="128">
        <v>10.0</v>
      </c>
      <c r="Q2" s="128">
        <v>10.0</v>
      </c>
      <c r="R2" s="2"/>
      <c r="S2" s="2"/>
      <c r="T2" s="2"/>
      <c r="U2" s="128">
        <v>3.0</v>
      </c>
      <c r="V2" s="128">
        <v>10.0</v>
      </c>
      <c r="W2" s="128">
        <v>10.0</v>
      </c>
      <c r="X2" s="2"/>
      <c r="Y2" s="2"/>
      <c r="Z2" s="2"/>
    </row>
    <row r="3" ht="12.75" customHeight="1">
      <c r="A3" s="2"/>
      <c r="B3" s="2" t="s">
        <v>252</v>
      </c>
      <c r="C3" s="2">
        <v>70.5</v>
      </c>
      <c r="D3" s="2">
        <f t="shared" ref="D3:D5" si="1">C3*0.97</f>
        <v>68.385</v>
      </c>
      <c r="E3" s="2" t="s">
        <v>253</v>
      </c>
      <c r="F3" s="2">
        <v>68.3</v>
      </c>
      <c r="G3" s="2"/>
      <c r="H3" s="2"/>
      <c r="I3" s="2"/>
      <c r="J3" s="2"/>
      <c r="K3" s="2"/>
      <c r="L3" s="2"/>
      <c r="M3" s="2"/>
      <c r="N3" s="128" t="s">
        <v>254</v>
      </c>
      <c r="O3" s="213">
        <v>3.0</v>
      </c>
      <c r="P3" s="128">
        <v>15.0</v>
      </c>
      <c r="Q3" s="128">
        <v>22.6</v>
      </c>
      <c r="R3" s="2"/>
      <c r="S3" s="2"/>
      <c r="T3" s="2"/>
      <c r="U3" s="213">
        <v>3.0</v>
      </c>
      <c r="V3" s="128">
        <v>15.0</v>
      </c>
      <c r="W3" s="128">
        <v>20.6</v>
      </c>
      <c r="X3" s="2"/>
      <c r="Y3" s="2"/>
      <c r="Z3" s="2"/>
    </row>
    <row r="4" ht="12.75" customHeight="1">
      <c r="A4" s="2"/>
      <c r="B4" s="2" t="s">
        <v>255</v>
      </c>
      <c r="C4" s="2">
        <v>58.0</v>
      </c>
      <c r="D4" s="2">
        <f t="shared" si="1"/>
        <v>56.26</v>
      </c>
      <c r="E4" s="2" t="s">
        <v>256</v>
      </c>
      <c r="F4" s="2">
        <v>51.8</v>
      </c>
      <c r="G4" s="2"/>
      <c r="H4" s="2"/>
      <c r="I4" s="2"/>
      <c r="J4" s="2"/>
      <c r="K4" s="2"/>
      <c r="L4" s="2"/>
      <c r="M4" s="2"/>
      <c r="N4" s="128" t="s">
        <v>257</v>
      </c>
      <c r="O4" s="128">
        <v>3.0</v>
      </c>
      <c r="P4" s="128">
        <v>15.0</v>
      </c>
      <c r="Q4" s="128">
        <v>2.5</v>
      </c>
      <c r="R4" s="2"/>
      <c r="S4" s="2"/>
      <c r="T4" s="2"/>
      <c r="U4" s="128">
        <v>3.0</v>
      </c>
      <c r="V4" s="128">
        <v>15.0</v>
      </c>
      <c r="W4" s="128">
        <v>3.0</v>
      </c>
      <c r="X4" s="2"/>
      <c r="Y4" s="2"/>
      <c r="Z4" s="2"/>
    </row>
    <row r="5" ht="12.75" customHeight="1">
      <c r="A5" s="2"/>
      <c r="B5" s="2" t="s">
        <v>258</v>
      </c>
      <c r="C5" s="2">
        <v>43.0</v>
      </c>
      <c r="D5" s="2">
        <f t="shared" si="1"/>
        <v>41.71</v>
      </c>
      <c r="E5" s="2" t="s">
        <v>259</v>
      </c>
      <c r="F5" s="2">
        <v>36.2</v>
      </c>
      <c r="G5" s="2"/>
      <c r="H5" s="2"/>
      <c r="I5" s="2"/>
      <c r="J5" s="2"/>
      <c r="K5" s="2"/>
      <c r="L5" s="2"/>
      <c r="M5" s="2"/>
      <c r="N5" s="128" t="s">
        <v>260</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261</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262</v>
      </c>
      <c r="O7" s="2"/>
      <c r="P7" s="2"/>
      <c r="Q7" s="2"/>
      <c r="R7" s="128">
        <v>3.0</v>
      </c>
      <c r="S7" s="128">
        <v>5.0</v>
      </c>
      <c r="T7" s="128" t="s">
        <v>263</v>
      </c>
      <c r="U7" s="134"/>
      <c r="V7" s="2"/>
      <c r="W7" s="2"/>
      <c r="X7" s="2"/>
      <c r="Y7" s="2"/>
      <c r="Z7" s="2"/>
    </row>
    <row r="8" ht="12.75" customHeight="1">
      <c r="A8" s="2"/>
      <c r="B8" s="2"/>
      <c r="C8" s="2" t="s">
        <v>264</v>
      </c>
      <c r="D8" s="134" t="s">
        <v>265</v>
      </c>
      <c r="E8" s="2" t="s">
        <v>266</v>
      </c>
      <c r="F8" s="135" t="s">
        <v>267</v>
      </c>
      <c r="G8" s="131" t="s">
        <v>268</v>
      </c>
      <c r="H8" s="131" t="s">
        <v>269</v>
      </c>
      <c r="I8" s="131" t="s">
        <v>270</v>
      </c>
      <c r="J8" s="131" t="s">
        <v>271</v>
      </c>
      <c r="K8" s="131" t="s">
        <v>272</v>
      </c>
      <c r="L8" s="2"/>
      <c r="M8" s="2"/>
      <c r="N8" s="128" t="s">
        <v>273</v>
      </c>
      <c r="O8" s="2"/>
      <c r="P8" s="2"/>
      <c r="Q8" s="2"/>
      <c r="R8" s="128">
        <v>3.0</v>
      </c>
      <c r="S8" s="128">
        <v>10.0</v>
      </c>
      <c r="T8" s="128">
        <v>12.0</v>
      </c>
      <c r="U8" s="134"/>
      <c r="V8" s="2"/>
      <c r="W8" s="2"/>
      <c r="X8" s="2"/>
      <c r="Y8" s="2"/>
      <c r="Z8" s="2"/>
    </row>
    <row r="9" ht="12.75" customHeight="1">
      <c r="A9" s="2"/>
      <c r="B9" s="128" t="s">
        <v>260</v>
      </c>
      <c r="C9" s="129">
        <v>56.5</v>
      </c>
      <c r="D9" s="130">
        <v>56.5</v>
      </c>
      <c r="E9" s="129">
        <v>56.5</v>
      </c>
      <c r="F9" s="131">
        <v>58.0</v>
      </c>
      <c r="G9" s="132">
        <v>58.0</v>
      </c>
      <c r="H9" s="131">
        <v>58.0</v>
      </c>
      <c r="I9" s="130">
        <v>60.0</v>
      </c>
      <c r="J9" s="129">
        <v>58.0</v>
      </c>
      <c r="K9" s="129">
        <v>60.0</v>
      </c>
      <c r="L9" s="2"/>
      <c r="M9" s="2"/>
      <c r="N9" s="128" t="s">
        <v>254</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260</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249</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261</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274</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273</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251</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254</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257</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275</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276</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251</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277</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278</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274</v>
      </c>
      <c r="C55" s="134"/>
      <c r="D55" s="135">
        <v>52.0</v>
      </c>
      <c r="E55" s="134"/>
      <c r="G55" s="135">
        <v>53.0</v>
      </c>
      <c r="H55" s="134"/>
      <c r="I55" s="134"/>
      <c r="J55" s="134"/>
      <c r="K55" s="134"/>
      <c r="L55" s="2"/>
      <c r="M55" s="2"/>
      <c r="N55" s="2" t="s">
        <v>279</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280</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250</v>
      </c>
      <c r="E2" s="2"/>
      <c r="F2" s="2"/>
      <c r="G2" s="2"/>
      <c r="H2" s="2"/>
      <c r="I2" s="2"/>
      <c r="J2" s="2"/>
      <c r="K2" s="2"/>
      <c r="L2" s="2"/>
      <c r="M2" s="2"/>
      <c r="N2" s="2"/>
      <c r="O2" s="2"/>
      <c r="P2" s="2"/>
      <c r="Q2" s="2"/>
      <c r="R2" s="2"/>
      <c r="S2" s="2"/>
      <c r="T2" s="2"/>
      <c r="U2" s="2"/>
      <c r="V2" s="2"/>
      <c r="W2" s="2"/>
      <c r="X2" s="2"/>
      <c r="Y2" s="2"/>
      <c r="Z2" s="2"/>
    </row>
    <row r="3" ht="12.75" customHeight="1">
      <c r="A3" s="2"/>
      <c r="B3" s="2" t="s">
        <v>252</v>
      </c>
      <c r="C3" s="2">
        <v>70.5</v>
      </c>
      <c r="D3" s="2">
        <f t="shared" ref="D3:D5" si="1">C3*0.97</f>
        <v>68.385</v>
      </c>
      <c r="E3" s="2" t="s">
        <v>253</v>
      </c>
      <c r="F3" s="2">
        <v>68.3</v>
      </c>
      <c r="G3" s="2"/>
      <c r="H3" s="2"/>
      <c r="I3" s="2"/>
      <c r="J3" s="2"/>
      <c r="K3" s="2"/>
      <c r="L3" s="2"/>
      <c r="M3" s="2"/>
      <c r="N3" s="2"/>
      <c r="O3" s="2"/>
      <c r="P3" s="2"/>
      <c r="Q3" s="2"/>
      <c r="R3" s="2"/>
      <c r="S3" s="2"/>
      <c r="T3" s="2"/>
      <c r="U3" s="2"/>
      <c r="V3" s="2"/>
      <c r="W3" s="2"/>
      <c r="X3" s="2"/>
      <c r="Y3" s="2"/>
      <c r="Z3" s="2"/>
    </row>
    <row r="4" ht="12.75" customHeight="1">
      <c r="A4" s="2"/>
      <c r="B4" s="2" t="s">
        <v>255</v>
      </c>
      <c r="C4" s="2">
        <v>58.0</v>
      </c>
      <c r="D4" s="2">
        <f t="shared" si="1"/>
        <v>56.26</v>
      </c>
      <c r="E4" s="2" t="s">
        <v>256</v>
      </c>
      <c r="F4" s="2">
        <v>51.8</v>
      </c>
      <c r="G4" s="2"/>
      <c r="H4" s="2"/>
      <c r="I4" s="2"/>
      <c r="J4" s="2"/>
      <c r="K4" s="2"/>
      <c r="L4" s="2"/>
      <c r="M4" s="2"/>
      <c r="N4" s="2"/>
      <c r="O4" s="2"/>
      <c r="P4" s="2"/>
      <c r="Q4" s="2"/>
      <c r="R4" s="2"/>
      <c r="S4" s="2"/>
      <c r="T4" s="2"/>
      <c r="U4" s="2"/>
      <c r="V4" s="2"/>
      <c r="W4" s="2"/>
      <c r="X4" s="2"/>
      <c r="Y4" s="2"/>
      <c r="Z4" s="2"/>
    </row>
    <row r="5" ht="12.75" customHeight="1">
      <c r="A5" s="2"/>
      <c r="B5" s="2" t="s">
        <v>258</v>
      </c>
      <c r="C5" s="2">
        <v>43.0</v>
      </c>
      <c r="D5" s="2">
        <f t="shared" si="1"/>
        <v>41.71</v>
      </c>
      <c r="E5" s="2" t="s">
        <v>259</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264</v>
      </c>
      <c r="D8" s="2"/>
      <c r="E8" s="35"/>
      <c r="F8" s="15" t="s">
        <v>265</v>
      </c>
      <c r="G8" s="2"/>
      <c r="H8" s="2"/>
      <c r="I8" s="2" t="s">
        <v>266</v>
      </c>
      <c r="J8" s="2"/>
      <c r="K8" s="35"/>
      <c r="L8" s="2"/>
      <c r="M8" s="2"/>
      <c r="N8" s="2"/>
      <c r="O8" s="2"/>
      <c r="P8" s="2"/>
      <c r="Q8" s="2"/>
      <c r="R8" s="2"/>
      <c r="S8" s="2"/>
      <c r="T8" s="2"/>
      <c r="U8" s="2"/>
      <c r="V8" s="2"/>
      <c r="W8" s="2"/>
      <c r="X8" s="2"/>
      <c r="Y8" s="2"/>
      <c r="Z8" s="2"/>
    </row>
    <row r="9" ht="12.75" customHeight="1">
      <c r="A9" s="2"/>
      <c r="B9" s="128" t="s">
        <v>260</v>
      </c>
      <c r="C9" s="128">
        <v>6.0</v>
      </c>
      <c r="D9" s="128">
        <v>3.0</v>
      </c>
      <c r="E9" s="128" t="s">
        <v>281</v>
      </c>
      <c r="F9" s="2"/>
      <c r="G9" s="2"/>
      <c r="H9" s="2"/>
      <c r="I9" s="128">
        <v>6.0</v>
      </c>
      <c r="J9" s="128">
        <v>3.0</v>
      </c>
      <c r="K9" s="128" t="s">
        <v>281</v>
      </c>
      <c r="L9" s="2"/>
      <c r="M9" s="2"/>
      <c r="N9" s="2"/>
      <c r="O9" s="2"/>
      <c r="P9" s="2"/>
      <c r="Q9" s="2"/>
      <c r="R9" s="2"/>
      <c r="S9" s="2"/>
      <c r="T9" s="2"/>
      <c r="U9" s="2"/>
      <c r="V9" s="2"/>
      <c r="W9" s="2"/>
      <c r="X9" s="2"/>
      <c r="Y9" s="2"/>
      <c r="Z9" s="2"/>
    </row>
    <row r="10" ht="12.75" customHeight="1">
      <c r="A10" s="2"/>
      <c r="B10" s="128" t="s">
        <v>249</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251</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254</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257</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260</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261</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262</v>
      </c>
      <c r="C16" s="2"/>
      <c r="D16" s="2"/>
      <c r="E16" s="2"/>
      <c r="F16" s="128">
        <v>3.0</v>
      </c>
      <c r="G16" s="128">
        <v>5.0</v>
      </c>
      <c r="H16" s="128" t="s">
        <v>263</v>
      </c>
      <c r="J16" s="2"/>
      <c r="K16" s="2"/>
      <c r="L16" s="2"/>
      <c r="M16" s="2"/>
      <c r="N16" s="2"/>
      <c r="O16" s="2"/>
      <c r="P16" s="2"/>
      <c r="Q16" s="2"/>
      <c r="R16" s="2"/>
      <c r="S16" s="2"/>
      <c r="T16" s="2"/>
      <c r="U16" s="2"/>
      <c r="V16" s="2"/>
      <c r="W16" s="2"/>
      <c r="X16" s="2"/>
      <c r="Y16" s="2"/>
      <c r="Z16" s="2"/>
    </row>
    <row r="17" ht="12.75" customHeight="1">
      <c r="A17" s="2"/>
      <c r="B17" s="128" t="s">
        <v>273</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254</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260</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249</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261</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274</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273</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251</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254</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257</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279</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176</v>
      </c>
      <c r="B1" s="122" t="s">
        <v>282</v>
      </c>
      <c r="C1" s="123" t="s">
        <v>178</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179</v>
      </c>
      <c r="C2" s="126" t="s">
        <v>180</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283</v>
      </c>
      <c r="B8" s="125" t="s">
        <v>284</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285</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286</v>
      </c>
      <c r="B18" s="166" t="s">
        <v>287</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288</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289</v>
      </c>
      <c r="B33" s="166" t="s">
        <v>290</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170</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291</v>
      </c>
      <c r="B43" s="125" t="s">
        <v>292</v>
      </c>
      <c r="C43" s="219"/>
      <c r="D43" s="153" t="s">
        <v>293</v>
      </c>
      <c r="E43" s="153"/>
      <c r="F43" s="153"/>
      <c r="G43" s="152" t="s">
        <v>293</v>
      </c>
      <c r="H43" s="152" t="s">
        <v>294</v>
      </c>
      <c r="I43" s="151" t="s">
        <v>293</v>
      </c>
      <c r="J43" s="151" t="s">
        <v>294</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295</v>
      </c>
      <c r="B48" s="125" t="s">
        <v>296</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171</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209</v>
      </c>
      <c r="B58" s="166" t="s">
        <v>209</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214</v>
      </c>
      <c r="B68" s="166" t="s">
        <v>214</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211</v>
      </c>
      <c r="B73" s="166" t="s">
        <v>211</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172</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302</v>
      </c>
      <c r="C2" s="15">
        <v>66.1</v>
      </c>
    </row>
    <row r="3" ht="12.75" customHeight="1"/>
    <row r="4" ht="12.75" customHeight="1">
      <c r="X4" s="15">
        <f t="array" ref="X4:X13">sequence(10,1,TODAY(),0)</f>
        <v>45929</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45929.0</v>
      </c>
    </row>
    <row r="6" ht="12.75" customHeight="1">
      <c r="A6" s="2" t="s">
        <v>303</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45929.0</v>
      </c>
      <c r="Y6" s="244">
        <f>TODAY( )</f>
        <v>45929</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45929.0</v>
      </c>
    </row>
    <row r="8" ht="12.75" customHeight="1">
      <c r="A8" s="2" t="s">
        <v>304</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45929.0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45929.0</v>
      </c>
    </row>
    <row r="10" ht="12.75" customHeight="1">
      <c r="A10" s="2" t="s">
        <v>305</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45929.0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45929.0</v>
      </c>
    </row>
    <row r="12" ht="12.75" customHeight="1">
      <c r="A12" s="2" t="s">
        <v>306</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45929.0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45929.0</v>
      </c>
    </row>
    <row r="14" ht="12.75" customHeight="1"/>
    <row r="15" ht="12.75" customHeight="1"/>
    <row r="16" ht="12.75" customHeight="1"/>
    <row r="17" ht="12.75" customHeight="1"/>
    <row r="18" ht="12.75" customHeight="1">
      <c r="B18" s="15" t="s">
        <v>302</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304</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305</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306</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307</v>
      </c>
      <c r="H1" s="15" t="s">
        <v>308</v>
      </c>
    </row>
    <row r="2" ht="12.75" customHeight="1">
      <c r="A2" s="56">
        <v>70.0</v>
      </c>
      <c r="D2" s="15" t="s">
        <v>33</v>
      </c>
      <c r="E2" s="15" t="s">
        <v>34</v>
      </c>
      <c r="F2" s="15" t="s">
        <v>309</v>
      </c>
      <c r="G2" s="15" t="s">
        <v>35</v>
      </c>
      <c r="H2" s="15" t="s">
        <v>310</v>
      </c>
    </row>
    <row r="3" ht="12.75" customHeight="1">
      <c r="D3" s="44">
        <f t="shared" ref="D3:H3" si="1">$A$2</f>
        <v>70</v>
      </c>
      <c r="E3" s="44">
        <f t="shared" si="1"/>
        <v>70</v>
      </c>
      <c r="F3" s="44">
        <f t="shared" si="1"/>
        <v>70</v>
      </c>
      <c r="G3" s="44">
        <f t="shared" si="1"/>
        <v>70</v>
      </c>
      <c r="H3" s="44">
        <f t="shared" si="1"/>
        <v>70</v>
      </c>
    </row>
    <row r="4" ht="12.75" customHeight="1">
      <c r="B4" s="15" t="s">
        <v>311</v>
      </c>
      <c r="C4" s="15">
        <v>2.0</v>
      </c>
      <c r="D4" s="44">
        <f t="shared" ref="D4:D22" si="2">ROUND(D$3*(1.0278-0.0278*C4),1)</f>
        <v>68.1</v>
      </c>
      <c r="E4" s="44">
        <f>E$3*(1+0.0333*$C4)</f>
        <v>74.662</v>
      </c>
    </row>
    <row r="5" ht="12.75" customHeight="1">
      <c r="B5" s="256" t="s">
        <v>312</v>
      </c>
      <c r="C5" s="256">
        <v>3.0</v>
      </c>
      <c r="D5" s="256">
        <f t="shared" si="2"/>
        <v>66.1</v>
      </c>
    </row>
    <row r="6" ht="12.75" customHeight="1">
      <c r="B6" s="15" t="s">
        <v>313</v>
      </c>
      <c r="C6" s="15">
        <v>4.0</v>
      </c>
      <c r="D6" s="44">
        <f t="shared" si="2"/>
        <v>64.2</v>
      </c>
    </row>
    <row r="7" ht="12.75" customHeight="1">
      <c r="B7" s="256" t="s">
        <v>314</v>
      </c>
      <c r="C7" s="256">
        <v>5.0</v>
      </c>
      <c r="D7" s="256">
        <f t="shared" si="2"/>
        <v>62.2</v>
      </c>
    </row>
    <row r="8" ht="12.75" customHeight="1">
      <c r="B8" s="15" t="s">
        <v>315</v>
      </c>
      <c r="C8" s="15">
        <v>6.0</v>
      </c>
      <c r="D8" s="44">
        <f t="shared" si="2"/>
        <v>60.3</v>
      </c>
    </row>
    <row r="9" ht="12.75" customHeight="1">
      <c r="B9" s="15" t="s">
        <v>316</v>
      </c>
      <c r="C9" s="15">
        <v>7.0</v>
      </c>
      <c r="D9" s="44">
        <f t="shared" si="2"/>
        <v>58.3</v>
      </c>
    </row>
    <row r="10" ht="12.75" customHeight="1">
      <c r="B10" s="256" t="s">
        <v>317</v>
      </c>
      <c r="C10" s="256">
        <v>8.0</v>
      </c>
      <c r="D10" s="256">
        <f t="shared" si="2"/>
        <v>56.4</v>
      </c>
    </row>
    <row r="11" ht="12.75" customHeight="1">
      <c r="B11" s="15" t="s">
        <v>318</v>
      </c>
      <c r="C11" s="15">
        <v>9.0</v>
      </c>
      <c r="D11" s="44">
        <f t="shared" si="2"/>
        <v>54.4</v>
      </c>
    </row>
    <row r="12" ht="12.75" customHeight="1">
      <c r="B12" s="256" t="s">
        <v>319</v>
      </c>
      <c r="C12" s="256">
        <v>10.0</v>
      </c>
      <c r="D12" s="256">
        <f t="shared" si="2"/>
        <v>52.5</v>
      </c>
    </row>
    <row r="13" ht="12.75" customHeight="1">
      <c r="B13" s="15" t="s">
        <v>320</v>
      </c>
      <c r="C13" s="15">
        <v>11.0</v>
      </c>
      <c r="D13" s="44">
        <f t="shared" si="2"/>
        <v>50.5</v>
      </c>
    </row>
    <row r="14" ht="12.75" customHeight="1">
      <c r="B14" s="256" t="s">
        <v>321</v>
      </c>
      <c r="C14" s="256">
        <v>12.0</v>
      </c>
      <c r="D14" s="256">
        <f t="shared" si="2"/>
        <v>48.6</v>
      </c>
    </row>
    <row r="15" ht="12.75" customHeight="1">
      <c r="B15" s="15" t="s">
        <v>322</v>
      </c>
      <c r="C15" s="15">
        <v>13.0</v>
      </c>
      <c r="D15" s="44">
        <f t="shared" si="2"/>
        <v>46.6</v>
      </c>
    </row>
    <row r="16" ht="12.75" customHeight="1">
      <c r="B16" s="15" t="s">
        <v>323</v>
      </c>
      <c r="C16" s="15">
        <v>14.0</v>
      </c>
      <c r="D16" s="44">
        <f t="shared" si="2"/>
        <v>44.7</v>
      </c>
    </row>
    <row r="17" ht="12.75" customHeight="1">
      <c r="B17" s="256" t="s">
        <v>324</v>
      </c>
      <c r="C17" s="256">
        <v>15.0</v>
      </c>
      <c r="D17" s="256">
        <f t="shared" si="2"/>
        <v>42.8</v>
      </c>
    </row>
    <row r="18" ht="12.75" customHeight="1">
      <c r="B18" s="15" t="s">
        <v>325</v>
      </c>
      <c r="C18" s="15">
        <v>16.0</v>
      </c>
      <c r="D18" s="44">
        <f t="shared" si="2"/>
        <v>40.8</v>
      </c>
    </row>
    <row r="19" ht="12.75" customHeight="1">
      <c r="B19" s="15" t="s">
        <v>326</v>
      </c>
      <c r="C19" s="15">
        <v>17.0</v>
      </c>
      <c r="D19" s="44">
        <f t="shared" si="2"/>
        <v>38.9</v>
      </c>
    </row>
    <row r="20" ht="12.75" customHeight="1">
      <c r="B20" s="15" t="s">
        <v>327</v>
      </c>
      <c r="C20" s="15">
        <v>18.0</v>
      </c>
      <c r="D20" s="44">
        <f t="shared" si="2"/>
        <v>36.9</v>
      </c>
    </row>
    <row r="21" ht="12.75" customHeight="1">
      <c r="B21" s="15" t="s">
        <v>328</v>
      </c>
      <c r="C21" s="15">
        <v>19.0</v>
      </c>
      <c r="D21" s="44">
        <f t="shared" si="2"/>
        <v>35</v>
      </c>
    </row>
    <row r="22" ht="12.75" customHeight="1">
      <c r="B22" s="15" t="s">
        <v>329</v>
      </c>
      <c r="C22" s="15">
        <v>20.0</v>
      </c>
      <c r="D22" s="44">
        <f t="shared" si="2"/>
        <v>33</v>
      </c>
    </row>
    <row r="23" ht="12.75" customHeight="1">
      <c r="O23" s="15" t="s">
        <v>29</v>
      </c>
    </row>
    <row r="24" ht="12.75" customHeight="1"/>
    <row r="25" ht="12.75" customHeight="1">
      <c r="O25" s="15" t="s">
        <v>307</v>
      </c>
    </row>
    <row r="26" ht="12.75" customHeight="1"/>
    <row r="27" ht="12.75" customHeight="1">
      <c r="O27" s="15" t="s">
        <v>308</v>
      </c>
    </row>
    <row r="28" ht="12.75" customHeight="1"/>
    <row r="29" ht="12.75" customHeight="1">
      <c r="O29" s="257" t="s">
        <v>330</v>
      </c>
    </row>
    <row r="30" ht="12.75" customHeight="1">
      <c r="O30" s="258" t="s">
        <v>331</v>
      </c>
    </row>
    <row r="31" ht="12.75" customHeight="1">
      <c r="O31" s="258" t="s">
        <v>332</v>
      </c>
    </row>
    <row r="32" ht="12.75" customHeight="1">
      <c r="O32" s="258" t="s">
        <v>333</v>
      </c>
    </row>
    <row r="33" ht="12.75" customHeight="1">
      <c r="O33" s="258" t="s">
        <v>334</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335</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336</v>
      </c>
      <c r="AP5" s="2"/>
      <c r="AQ5" s="2"/>
      <c r="AR5" s="2"/>
      <c r="AS5" s="2"/>
      <c r="AT5" s="2"/>
      <c r="AU5" s="2"/>
      <c r="AV5" s="2"/>
      <c r="AW5" s="2"/>
      <c r="AX5" s="2" t="s">
        <v>337</v>
      </c>
      <c r="AY5" s="2"/>
      <c r="AZ5" s="2"/>
      <c r="BA5" s="2"/>
      <c r="BB5" s="2"/>
      <c r="BC5" s="2"/>
      <c r="BD5" s="2"/>
      <c r="BE5" s="2"/>
      <c r="BF5" s="2"/>
      <c r="BG5" s="2"/>
      <c r="BH5" s="2"/>
      <c r="BI5" s="2"/>
      <c r="BJ5" s="2"/>
      <c r="BK5" s="2"/>
      <c r="BL5" s="2"/>
      <c r="BM5" s="2"/>
      <c r="BN5" s="2"/>
      <c r="BO5" s="2"/>
      <c r="BP5" s="2" t="s">
        <v>337</v>
      </c>
      <c r="BQ5" s="2"/>
      <c r="BR5" s="2"/>
      <c r="BS5" s="2"/>
      <c r="BT5" s="2"/>
      <c r="BU5" s="2"/>
      <c r="BV5" s="2"/>
      <c r="BW5" s="2"/>
      <c r="BX5" s="2"/>
      <c r="BY5" s="2"/>
      <c r="BZ5" s="2"/>
      <c r="CA5" s="2"/>
      <c r="CB5" s="2"/>
      <c r="CC5" s="2" t="s">
        <v>337</v>
      </c>
      <c r="CD5" s="2"/>
      <c r="CE5" s="2"/>
      <c r="CF5" s="2" t="s">
        <v>336</v>
      </c>
      <c r="CG5" s="2" t="s">
        <v>336</v>
      </c>
      <c r="CH5" s="2" t="s">
        <v>336</v>
      </c>
      <c r="CI5" s="2"/>
      <c r="CJ5" s="2"/>
      <c r="CK5" s="2"/>
      <c r="CL5" s="2"/>
      <c r="CM5" s="2"/>
      <c r="CN5" s="2"/>
      <c r="CO5" s="2"/>
      <c r="CP5" s="2" t="s">
        <v>337</v>
      </c>
      <c r="CQ5" s="2"/>
      <c r="CR5" s="2"/>
      <c r="CS5" s="2" t="s">
        <v>338</v>
      </c>
      <c r="CT5" s="2"/>
      <c r="CU5" s="2" t="s">
        <v>338</v>
      </c>
      <c r="CV5" s="2"/>
      <c r="CW5" s="2" t="s">
        <v>338</v>
      </c>
      <c r="CX5" s="2" t="s">
        <v>336</v>
      </c>
      <c r="CY5" s="2"/>
      <c r="CZ5" s="2"/>
      <c r="DA5" s="2"/>
      <c r="DB5" s="2"/>
      <c r="DC5" s="2"/>
      <c r="DD5" s="2"/>
      <c r="DE5" s="2" t="s">
        <v>339</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t="s">
        <v>340</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340</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336</v>
      </c>
      <c r="D25" s="2"/>
      <c r="E25" s="2"/>
      <c r="F25" s="2"/>
      <c r="G25" s="2"/>
      <c r="H25" s="2"/>
      <c r="I25" s="2"/>
      <c r="J25" s="2"/>
      <c r="K25" s="2"/>
      <c r="L25" s="2" t="s">
        <v>337</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337</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337</v>
      </c>
      <c r="F39" s="2"/>
      <c r="G39" s="2"/>
      <c r="H39" s="2" t="s">
        <v>336</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336</v>
      </c>
      <c r="C44" s="2" t="s">
        <v>336</v>
      </c>
      <c r="D44" s="2"/>
      <c r="E44" s="2"/>
      <c r="F44" s="2"/>
      <c r="G44" s="2"/>
      <c r="H44" s="2"/>
      <c r="I44" s="2"/>
      <c r="J44" s="2"/>
      <c r="K44" s="2" t="s">
        <v>337</v>
      </c>
      <c r="L44" s="2"/>
      <c r="M44" s="2"/>
      <c r="N44" s="2" t="s">
        <v>338</v>
      </c>
      <c r="O44" s="2"/>
      <c r="P44" s="2" t="s">
        <v>338</v>
      </c>
      <c r="Q44" s="2"/>
      <c r="R44" s="2" t="s">
        <v>338</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336</v>
      </c>
      <c r="C49" s="2"/>
      <c r="D49" s="2"/>
      <c r="E49" s="2"/>
      <c r="F49" s="2"/>
      <c r="G49" s="2"/>
      <c r="H49" s="2"/>
      <c r="I49" s="2" t="s">
        <v>339</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335</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341</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342</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307</v>
      </c>
      <c r="F1" s="15" t="s">
        <v>30</v>
      </c>
      <c r="G1" s="15" t="s">
        <v>308</v>
      </c>
    </row>
    <row r="2" ht="12.75" customHeight="1">
      <c r="A2" s="56">
        <v>50.0</v>
      </c>
      <c r="C2" s="15" t="s">
        <v>33</v>
      </c>
      <c r="D2" s="15" t="s">
        <v>34</v>
      </c>
      <c r="E2" s="15" t="s">
        <v>309</v>
      </c>
      <c r="F2" s="15" t="s">
        <v>35</v>
      </c>
      <c r="G2" s="15" t="s">
        <v>310</v>
      </c>
      <c r="I2" s="15" t="s">
        <v>343</v>
      </c>
      <c r="J2" s="15" t="s">
        <v>344</v>
      </c>
      <c r="K2" s="15" t="s">
        <v>345</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