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C séance lourde" sheetId="1" r:id="rId4"/>
    <sheet state="visible" name="F MuscuSoft" sheetId="2" r:id="rId5"/>
    <sheet state="visible" name="F Muscu46" sheetId="3" r:id="rId6"/>
    <sheet state="visible" name=".Muscu6+" sheetId="4" r:id="rId7"/>
    <sheet state="visible" name="IMPORT vierge" sheetId="5" r:id="rId8"/>
    <sheet state="visible" name=".Muscu9bis" sheetId="6" r:id="rId9"/>
    <sheet state="visible" name=".Impro" sheetId="7" r:id="rId10"/>
    <sheet state="visible" name=".Power" sheetId="8" r:id="rId11"/>
    <sheet state="visible" name=".Hold" sheetId="9" r:id="rId12"/>
    <sheet state="visible" name=".M5" sheetId="10" r:id="rId13"/>
    <sheet state="visible" name=".Comp Insanity" sheetId="11" r:id="rId14"/>
    <sheet state="visible" name=".Mini DL" sheetId="12" r:id="rId15"/>
    <sheet state="visible" name=".TigerShark" sheetId="13" r:id="rId16"/>
    <sheet state="visible" name=".HatchSquat SSPT" sheetId="14" r:id="rId17"/>
    <sheet state="visible" name=".Inno" sheetId="15" r:id="rId18"/>
    <sheet state="visible" name=".DDB" sheetId="16" r:id="rId19"/>
    <sheet state="visible" name="F Tiger Shark Program" sheetId="17" r:id="rId20"/>
    <sheet state="visible" name="SBs" sheetId="18" r:id="rId21"/>
    <sheet state="visible" name="Est 1RM" sheetId="19" r:id="rId2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sharedStrings.xml><?xml version="1.0" encoding="utf-8"?>
<sst xmlns="http://schemas.openxmlformats.org/spreadsheetml/2006/main" count="923" uniqueCount="227">
  <si>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</si>
  <si>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</si>
  <si>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</si>
  <si>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</si>
  <si>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</si>
  <si>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</si>
  <si>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</si>
  <si>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</si>
  <si>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</si>
  <si>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</si>
  <si>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</si>
  <si>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</si>
  <si>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</si>
  <si>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</si>
  <si>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</si>
  <si>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</si>
  <si>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</si>
  <si>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</si>
  <si>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</si>
  <si>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</si>
  <si>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</si>
  <si>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</si>
  <si>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</si>
  <si>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</si>
  <si>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</si>
  <si>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</si>
  <si>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</si>
  <si>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</si>
  <si>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</si>
  <si>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</si>
  <si>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</si>
  <si>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</si>
  <si>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</si>
  <si>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</si>
  <si>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</si>
  <si>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</si>
  <si>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</si>
  <si>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</si>
  <si>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</si>
  <si>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</si>
  <si>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</si>
  <si>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</si>
  <si>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</si>
  <si>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</si>
  <si>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violet+vert</t>
  </si>
  <si>
    <t>Tirage H</t>
  </si>
  <si>
    <t>jaune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</si>
  <si>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</si>
  <si>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</si>
  <si>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</si>
  <si>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</si>
  <si>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</si>
  <si>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</si>
  <si>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</si>
  <si>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</si>
  <si>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</si>
  <si>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DC</t>
  </si>
  <si>
    <t>De</t>
  </si>
  <si>
    <t>Th</t>
  </si>
  <si>
    <t>B</t>
  </si>
  <si>
    <t>*DC-&gt;DCd</t>
  </si>
  <si>
    <t>Muscu6+</t>
  </si>
  <si>
    <t>---</t>
  </si>
  <si>
    <t>&lt;-Marqueur de fin</t>
  </si>
  <si>
    <t>SH</t>
  </si>
  <si>
    <t>DL</t>
  </si>
  <si>
    <t>DO</t>
  </si>
  <si>
    <t>Half Squat</t>
  </si>
  <si>
    <t>HSQ</t>
  </si>
  <si>
    <t>TVH</t>
  </si>
  <si>
    <t>DC30</t>
  </si>
  <si>
    <t>DCX</t>
  </si>
  <si>
    <t>DE</t>
  </si>
  <si>
    <t>TH</t>
  </si>
  <si>
    <t>Marqueur de fin-&gt;</t>
  </si>
  <si>
    <t>pause assis</t>
  </si>
  <si>
    <t>semi-pause</t>
  </si>
  <si>
    <t>concentré geste</t>
  </si>
  <si>
    <t>type séance-&gt;</t>
  </si>
  <si>
    <t>TigerShark</t>
  </si>
  <si>
    <t>date</t>
  </si>
  <si>
    <t>short name</t>
  </si>
  <si>
    <t>poids</t>
  </si>
  <si>
    <t>DM</t>
  </si>
  <si>
    <t>DMH</t>
  </si>
  <si>
    <t>DCB</t>
  </si>
  <si>
    <t>DH30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</si>
  <si>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</si>
  <si>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</si>
  <si>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</si>
  <si>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</si>
  <si>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</si>
  <si>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</si>
  <si>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</si>
  <si>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</si>
  <si>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</si>
  <si>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</si>
  <si>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</si>
  <si>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</si>
  <si>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</si>
  <si>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TIRH</t>
  </si>
  <si>
    <t>Ecarté court</t>
  </si>
  <si>
    <t>ECC</t>
  </si>
  <si>
    <t>bleu</t>
  </si>
  <si>
    <t>DC incliné 30</t>
  </si>
  <si>
    <t>DC 30 halteres</t>
  </si>
  <si>
    <t>DC serré</t>
  </si>
  <si>
    <t>DCS</t>
  </si>
  <si>
    <t>Paused Bench</t>
  </si>
  <si>
    <t>DCP</t>
  </si>
  <si>
    <t>Delto incliné banc</t>
  </si>
  <si>
    <t>DEB</t>
  </si>
  <si>
    <t>Curl EZ</t>
  </si>
  <si>
    <t>BEZ</t>
  </si>
  <si>
    <t>Curl Tribar</t>
  </si>
  <si>
    <t>BTR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</si>
  <si>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</si>
  <si>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</si>
  <si>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</si>
  <si>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</si>
  <si>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</si>
  <si>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</si>
  <si>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</si>
  <si>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</si>
  <si>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DIP</t>
  </si>
  <si>
    <t>Curl tribar</t>
  </si>
  <si>
    <t>Power</t>
  </si>
  <si>
    <t>(Nom par défaut)</t>
  </si>
  <si>
    <t>X</t>
  </si>
  <si>
    <t>Nom spécial</t>
  </si>
  <si>
    <t>Nom spécial2</t>
  </si>
  <si>
    <t>Reps</t>
  </si>
  <si>
    <t>1RMest</t>
  </si>
  <si>
    <t>DCM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</si>
  <si>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</si>
  <si>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</si>
  <si>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</si>
  <si>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</si>
  <si>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</si>
  <si>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</si>
  <si>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</si>
  <si>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</si>
  <si>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STH</t>
  </si>
  <si>
    <t>..70</t>
  </si>
  <si>
    <t>DOHL</t>
  </si>
  <si>
    <t>M5</t>
  </si>
  <si>
    <t>Comp Insanity</t>
  </si>
  <si>
    <t>DOH</t>
  </si>
  <si>
    <t>TTB</t>
  </si>
  <si>
    <t>Mini DL</t>
  </si>
  <si>
    <t>FSQ</t>
  </si>
  <si>
    <t>Très facile</t>
  </si>
  <si>
    <t>Facile</t>
  </si>
  <si>
    <t>Moyen</t>
  </si>
  <si>
    <t>Spoto</t>
  </si>
  <si>
    <t>SPO</t>
  </si>
  <si>
    <t>PEC</t>
  </si>
  <si>
    <t>10?</t>
  </si>
  <si>
    <t>10/8?</t>
  </si>
  <si>
    <t>HatchSquat SSPT</t>
  </si>
  <si>
    <t>10*1</t>
  </si>
  <si>
    <t>DEOI</t>
  </si>
  <si>
    <t>SITUP</t>
  </si>
  <si>
    <t>Pont 5s</t>
  </si>
  <si>
    <t>BR5</t>
  </si>
  <si>
    <t>Lever jambes tendues alt</t>
  </si>
  <si>
    <t>HSALT</t>
  </si>
  <si>
    <t>obliques position gainage</t>
  </si>
  <si>
    <t>OBL</t>
  </si>
  <si>
    <t>Lever jambes bassin</t>
  </si>
  <si>
    <t>LJB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</si>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</sst>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/MM"/>
    <numFmt numFmtId="165" formatCode="MM/DD/YY"/>
    <numFmt numFmtId="166" formatCode="0.000"/>
    <numFmt numFmtId="167" formatCode="d/m"/>
    <numFmt numFmtId="168" formatCode="dd/mm"/>
    <numFmt numFmtId="169" formatCode="0.0"/>
  </numFmts>
  <fonts count="22">
    <font>
      <sz val="10.0"/>
      <color rgb="FF000000"/>
      <name val="Arial"/>
      <scheme val="minor"/>
    </font>
    <font>
      <b/>
      <color theme="1"/>
      <name val="Arial"/>
      <scheme val="minor"/>
    </font>
    <font>
      <sz val="10.0"/>
      <color theme="1"/>
      <name val="Arial"/>
    </font>
    <font>
      <color theme="1"/>
      <name val="Arial"/>
      <scheme val="minor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theme="1"/>
      <name val="Arial"/>
      <scheme val="minor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color rgb="FF000000"/>
      <name val="Arial"/>
      <scheme val="minor"/>
    </font>
    <font>
      <b/>
      <sz val="11.0"/>
      <color theme="1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339966"/>
        <bgColor rgb="FF339966"/>
      </patternFill>
    </fill>
    <fill>
      <patternFill patternType="solid">
        <fgColor rgb="FFFFFFFF"/>
        <bgColor rgb="FFFFFFFF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1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2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 shrinkToFit="0" vertical="bottom" wrapText="0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shrinkToFit="0" vertical="bottom" wrapText="0"/>
    </xf>
    <xf borderId="0" fillId="0" fontId="2" numFmtId="164" xfId="0" applyAlignment="1" applyFont="1" applyNumberFormat="1">
      <alignment horizontal="center" shrinkToFit="0" vertical="bottom" wrapText="0"/>
    </xf>
    <xf borderId="1" fillId="3" fontId="2" numFmtId="164" xfId="0" applyAlignment="1" applyBorder="1" applyFill="1" applyFont="1" applyNumberFormat="1">
      <alignment shrinkToFit="0" vertical="bottom" wrapText="0"/>
    </xf>
    <xf borderId="1" fillId="4" fontId="4" numFmtId="0" xfId="0" applyAlignment="1" applyBorder="1" applyFill="1" applyFont="1">
      <alignment horizontal="center" shrinkToFit="0" vertical="bottom" wrapText="0"/>
    </xf>
    <xf borderId="1" fillId="4" fontId="2" numFmtId="0" xfId="0" applyAlignment="1" applyBorder="1" applyFont="1">
      <alignment horizontal="center" shrinkToFit="0" vertical="bottom" wrapText="0"/>
    </xf>
    <xf borderId="1" fillId="5" fontId="2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4" fontId="6" numFmtId="0" xfId="0" applyAlignment="1" applyBorder="1" applyFont="1">
      <alignment shrinkToFit="0" vertical="bottom" wrapText="0"/>
    </xf>
    <xf borderId="0" fillId="0" fontId="3" numFmtId="0" xfId="0" applyFont="1"/>
    <xf borderId="2" fillId="5" fontId="2" numFmtId="0" xfId="0" applyAlignment="1" applyBorder="1" applyFont="1">
      <alignment horizontal="center" shrinkToFit="0" vertical="bottom" wrapText="0"/>
    </xf>
    <xf borderId="3" fillId="0" fontId="7" numFmtId="0" xfId="0" applyBorder="1" applyFont="1"/>
    <xf borderId="4" fillId="0" fontId="7" numFmtId="0" xfId="0" applyBorder="1" applyFont="1"/>
    <xf borderId="1" fillId="6" fontId="2" numFmtId="0" xfId="0" applyAlignment="1" applyBorder="1" applyFill="1" applyFont="1">
      <alignment horizontal="center" shrinkToFit="0" vertical="bottom" wrapText="0"/>
    </xf>
    <xf borderId="1" fillId="4" fontId="6" numFmtId="0" xfId="0" applyAlignment="1" applyBorder="1" applyFont="1">
      <alignment horizontal="center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horizontal="center" readingOrder="0" shrinkToFit="0" vertical="bottom" wrapText="0"/>
    </xf>
    <xf borderId="1" fillId="7" fontId="8" numFmtId="0" xfId="0" applyAlignment="1" applyBorder="1" applyFill="1" applyFont="1">
      <alignment horizontal="center" shrinkToFit="0" vertical="bottom" wrapText="0"/>
    </xf>
    <xf borderId="1" fillId="7" fontId="2" numFmtId="0" xfId="0" applyAlignment="1" applyBorder="1" applyFont="1">
      <alignment horizontal="center" shrinkToFit="0" vertical="bottom" wrapText="0"/>
    </xf>
    <xf borderId="1" fillId="8" fontId="2" numFmtId="0" xfId="0" applyAlignment="1" applyBorder="1" applyFill="1" applyFont="1">
      <alignment horizontal="center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9" fontId="2" numFmtId="0" xfId="0" applyAlignment="1" applyBorder="1" applyFill="1" applyFont="1">
      <alignment horizontal="center" shrinkToFit="0" vertical="bottom" wrapText="0"/>
    </xf>
    <xf borderId="1" fillId="10" fontId="4" numFmtId="0" xfId="0" applyAlignment="1" applyBorder="1" applyFill="1" applyFont="1">
      <alignment horizontal="center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0" fillId="11" fontId="2" numFmtId="0" xfId="0" applyAlignment="1" applyFill="1" applyFont="1">
      <alignment horizontal="center" shrinkToFit="0" vertical="bottom" wrapText="0"/>
    </xf>
    <xf borderId="0" fillId="11" fontId="3" numFmtId="0" xfId="0" applyFont="1"/>
    <xf borderId="0" fillId="11" fontId="6" numFmtId="0" xfId="0" applyAlignment="1" applyFont="1">
      <alignment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1" fillId="8" fontId="4" numFmtId="0" xfId="0" applyAlignment="1" applyBorder="1" applyFont="1">
      <alignment horizontal="center" shrinkToFit="0" vertical="bottom" wrapText="0"/>
    </xf>
    <xf borderId="1" fillId="8" fontId="4" numFmtId="0" xfId="0" applyAlignment="1" applyBorder="1" applyFont="1">
      <alignment shrinkToFit="0" vertical="bottom" wrapText="0"/>
    </xf>
    <xf borderId="0" fillId="0" fontId="2" numFmtId="2" xfId="0" applyAlignment="1" applyFont="1" applyNumberFormat="1">
      <alignment shrinkToFit="0" vertical="bottom" wrapText="0"/>
    </xf>
    <xf borderId="0" fillId="0" fontId="2" numFmtId="2" xfId="0" applyAlignment="1" applyFont="1" applyNumberFormat="1">
      <alignment horizontal="center" shrinkToFit="0" vertical="bottom" wrapText="0"/>
    </xf>
    <xf borderId="0" fillId="0" fontId="6" numFmtId="0" xfId="0" applyAlignment="1" applyFont="1">
      <alignment shrinkToFit="0" vertical="bottom" wrapText="0"/>
    </xf>
    <xf borderId="0" fillId="0" fontId="2" numFmtId="49" xfId="0" applyAlignment="1" applyFont="1" applyNumberFormat="1">
      <alignment shrinkToFit="0" vertical="bottom" wrapText="0"/>
    </xf>
    <xf borderId="2" fillId="12" fontId="9" numFmtId="0" xfId="0" applyAlignment="1" applyBorder="1" applyFill="1" applyFont="1">
      <alignment shrinkToFit="0" vertical="bottom" wrapText="0"/>
    </xf>
    <xf borderId="1" fillId="12" fontId="9" numFmtId="0" xfId="0" applyAlignment="1" applyBorder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166" xfId="0" applyAlignment="1" applyFont="1" applyNumberFormat="1">
      <alignment shrinkToFit="0" vertical="bottom" wrapText="0"/>
    </xf>
    <xf borderId="0" fillId="0" fontId="2" numFmtId="166" xfId="0" applyAlignment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0" fontId="3" numFmtId="167" xfId="0" applyAlignment="1" applyFont="1" applyNumberFormat="1">
      <alignment readingOrder="0"/>
    </xf>
    <xf borderId="0" fillId="13" fontId="3" numFmtId="0" xfId="0" applyAlignment="1" applyFill="1" applyFont="1">
      <alignment readingOrder="0"/>
    </xf>
    <xf borderId="0" fillId="13" fontId="3" numFmtId="0" xfId="0" applyFont="1"/>
    <xf borderId="0" fillId="0" fontId="10" numFmtId="0" xfId="0" applyFont="1"/>
    <xf borderId="0" fillId="0" fontId="10" numFmtId="167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13" fontId="10" numFmtId="0" xfId="0" applyAlignment="1" applyFont="1">
      <alignment readingOrder="0"/>
    </xf>
    <xf borderId="0" fillId="13" fontId="10" numFmtId="0" xfId="0" applyFont="1"/>
    <xf borderId="0" fillId="3" fontId="10" numFmtId="0" xfId="0" applyAlignment="1" applyFont="1">
      <alignment readingOrder="0"/>
    </xf>
    <xf borderId="0" fillId="3" fontId="10" numFmtId="0" xfId="0" applyFont="1"/>
    <xf borderId="0" fillId="11" fontId="10" numFmtId="0" xfId="0" applyAlignment="1" applyFont="1">
      <alignment readingOrder="0"/>
    </xf>
    <xf borderId="0" fillId="14" fontId="3" numFmtId="0" xfId="0" applyAlignment="1" applyFill="1" applyFont="1">
      <alignment readingOrder="0"/>
    </xf>
    <xf borderId="1" fillId="12" fontId="9" numFmtId="0" xfId="0" applyAlignment="1" applyBorder="1" applyFont="1">
      <alignment readingOrder="0" shrinkToFit="0" vertical="bottom" wrapText="0"/>
    </xf>
    <xf borderId="5" fillId="13" fontId="3" numFmtId="0" xfId="0" applyAlignment="1" applyBorder="1" applyFont="1">
      <alignment horizontal="center" readingOrder="0"/>
    </xf>
    <xf borderId="5" fillId="13" fontId="8" numFmtId="0" xfId="0" applyAlignment="1" applyBorder="1" applyFont="1">
      <alignment horizontal="center" shrinkToFit="0" vertical="bottom" wrapText="0"/>
    </xf>
    <xf borderId="0" fillId="13" fontId="3" numFmtId="0" xfId="0" applyAlignment="1" applyFont="1">
      <alignment horizontal="center"/>
    </xf>
    <xf borderId="5" fillId="13" fontId="8" numFmtId="0" xfId="0" applyAlignment="1" applyBorder="1" applyFont="1">
      <alignment horizontal="center" readingOrder="0" shrinkToFit="0" vertical="bottom" wrapText="0"/>
    </xf>
    <xf borderId="5" fillId="11" fontId="8" numFmtId="0" xfId="0" applyAlignment="1" applyBorder="1" applyFont="1">
      <alignment horizontal="center" readingOrder="0" shrinkToFit="0" vertical="bottom" wrapText="0"/>
    </xf>
    <xf borderId="5" fillId="13" fontId="3" numFmtId="0" xfId="0" applyAlignment="1" applyBorder="1" applyFont="1">
      <alignment horizontal="center"/>
    </xf>
    <xf borderId="0" fillId="3" fontId="3" numFmtId="0" xfId="0" applyAlignment="1" applyFont="1">
      <alignment readingOrder="0"/>
    </xf>
    <xf borderId="0" fillId="3" fontId="10" numFmtId="167" xfId="0" applyAlignment="1" applyFont="1" applyNumberFormat="1">
      <alignment readingOrder="0"/>
    </xf>
    <xf borderId="0" fillId="13" fontId="11" numFmtId="0" xfId="0" applyAlignment="1" applyFont="1">
      <alignment readingOrder="0"/>
    </xf>
    <xf borderId="0" fillId="13" fontId="12" numFmtId="0" xfId="0" applyAlignment="1" applyFont="1">
      <alignment readingOrder="0"/>
    </xf>
    <xf borderId="0" fillId="15" fontId="10" numFmtId="0" xfId="0" applyAlignment="1" applyFill="1" applyFont="1">
      <alignment readingOrder="0"/>
    </xf>
    <xf borderId="0" fillId="15" fontId="10" numFmtId="0" xfId="0" applyFont="1"/>
    <xf borderId="0" fillId="15" fontId="11" numFmtId="0" xfId="0" applyAlignment="1" applyFont="1">
      <alignment readingOrder="0"/>
    </xf>
    <xf borderId="0" fillId="15" fontId="12" numFmtId="0" xfId="0" applyAlignment="1" applyFont="1">
      <alignment readingOrder="0"/>
    </xf>
    <xf borderId="0" fillId="16" fontId="10" numFmtId="0" xfId="0" applyAlignment="1" applyFill="1" applyFont="1">
      <alignment readingOrder="0"/>
    </xf>
    <xf borderId="0" fillId="17" fontId="10" numFmtId="0" xfId="0" applyAlignment="1" applyFill="1" applyFont="1">
      <alignment readingOrder="0"/>
    </xf>
    <xf borderId="0" fillId="0" fontId="13" numFmtId="0" xfId="0" applyAlignment="1" applyFont="1">
      <alignment readingOrder="0"/>
    </xf>
    <xf borderId="0" fillId="12" fontId="9" numFmtId="0" xfId="0" applyAlignment="1" applyFont="1">
      <alignment readingOrder="0" shrinkToFit="0" vertical="bottom" wrapText="0"/>
    </xf>
    <xf borderId="0" fillId="16" fontId="3" numFmtId="0" xfId="0" applyAlignment="1" applyFont="1">
      <alignment readingOrder="0"/>
    </xf>
    <xf borderId="0" fillId="17" fontId="3" numFmtId="0" xfId="0" applyAlignment="1" applyFont="1">
      <alignment readingOrder="0"/>
    </xf>
    <xf borderId="0" fillId="12" fontId="9" numFmtId="0" xfId="0" applyAlignment="1" applyFont="1">
      <alignment shrinkToFit="0" vertical="bottom" wrapText="0"/>
    </xf>
    <xf borderId="0" fillId="12" fontId="14" numFmtId="0" xfId="0" applyAlignment="1" applyFont="1">
      <alignment readingOrder="0"/>
    </xf>
    <xf borderId="0" fillId="18" fontId="10" numFmtId="0" xfId="0" applyAlignment="1" applyFill="1" applyFont="1">
      <alignment readingOrder="0"/>
    </xf>
    <xf borderId="0" fillId="16" fontId="10" numFmtId="167" xfId="0" applyAlignment="1" applyFont="1" applyNumberFormat="1">
      <alignment readingOrder="0"/>
    </xf>
    <xf borderId="0" fillId="19" fontId="10" numFmtId="0" xfId="0" applyAlignment="1" applyFill="1" applyFont="1">
      <alignment readingOrder="0"/>
    </xf>
    <xf borderId="0" fillId="20" fontId="10" numFmtId="0" xfId="0" applyAlignment="1" applyFill="1" applyFont="1">
      <alignment readingOrder="0"/>
    </xf>
    <xf borderId="0" fillId="17" fontId="10" numFmtId="0" xfId="0" applyFont="1"/>
    <xf borderId="0" fillId="0" fontId="2" numFmtId="0" xfId="0" applyAlignment="1" applyFont="1">
      <alignment horizontal="center" shrinkToFit="0" vertical="bottom" wrapText="1"/>
    </xf>
    <xf borderId="0" fillId="0" fontId="2" numFmtId="0" xfId="0" applyAlignment="1" applyFont="1">
      <alignment horizontal="center" readingOrder="0" shrinkToFit="0" vertical="bottom" wrapText="1"/>
    </xf>
    <xf borderId="0" fillId="21" fontId="2" numFmtId="0" xfId="0" applyAlignment="1" applyFill="1" applyFont="1">
      <alignment horizontal="center" readingOrder="0" shrinkToFit="0" vertical="bottom" wrapText="1"/>
    </xf>
    <xf borderId="0" fillId="0" fontId="2" numFmtId="0" xfId="0" applyAlignment="1" applyFont="1">
      <alignment horizontal="center" readingOrder="0" shrinkToFit="0" vertical="bottom" wrapText="0"/>
    </xf>
    <xf borderId="0" fillId="21" fontId="2" numFmtId="0" xfId="0" applyAlignment="1" applyFont="1">
      <alignment horizontal="center" readingOrder="0" shrinkToFit="0" vertical="bottom" wrapText="0"/>
    </xf>
    <xf borderId="0" fillId="11" fontId="10" numFmtId="0" xfId="0" applyFont="1"/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21" fontId="2" numFmtId="0" xfId="0" applyAlignment="1" applyFont="1">
      <alignment horizontal="center" readingOrder="0"/>
    </xf>
    <xf borderId="0" fillId="22" fontId="3" numFmtId="0" xfId="0" applyFill="1" applyFont="1"/>
    <xf borderId="0" fillId="22" fontId="9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/>
    </xf>
    <xf borderId="0" fillId="22" fontId="3" numFmtId="0" xfId="0" applyAlignment="1" applyFont="1">
      <alignment horizontal="center" readingOrder="0"/>
    </xf>
    <xf borderId="0" fillId="0" fontId="8" numFmtId="0" xfId="0" applyAlignment="1" applyFont="1">
      <alignment horizontal="center" shrinkToFit="0" vertical="bottom" wrapText="0"/>
    </xf>
    <xf borderId="0" fillId="0" fontId="8" numFmtId="0" xfId="0" applyAlignment="1" applyFont="1">
      <alignment horizontal="center" readingOrder="0" shrinkToFit="0" vertical="bottom" wrapText="0"/>
    </xf>
    <xf borderId="0" fillId="22" fontId="3" numFmtId="0" xfId="0" applyAlignment="1" applyFont="1">
      <alignment horizontal="center"/>
    </xf>
    <xf borderId="0" fillId="22" fontId="3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16" fontId="10" numFmtId="168" xfId="0" applyAlignment="1" applyFont="1" applyNumberFormat="1">
      <alignment readingOrder="0"/>
    </xf>
    <xf borderId="0" fillId="21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1"/>
    </xf>
    <xf borderId="0" fillId="0" fontId="15" numFmtId="0" xfId="0" applyAlignment="1" applyFont="1">
      <alignment horizontal="center" readingOrder="0" shrinkToFit="0" vertical="bottom" wrapText="0"/>
    </xf>
    <xf borderId="0" fillId="21" fontId="15" numFmtId="0" xfId="0" applyAlignment="1" applyFont="1">
      <alignment horizontal="center"/>
    </xf>
    <xf borderId="0" fillId="0" fontId="15" numFmtId="0" xfId="0" applyAlignment="1" applyFont="1">
      <alignment horizontal="center" readingOrder="0"/>
    </xf>
    <xf borderId="0" fillId="21" fontId="15" numFmtId="0" xfId="0" applyAlignment="1" applyFont="1">
      <alignment horizontal="center" readingOrder="0"/>
    </xf>
    <xf borderId="0" fillId="3" fontId="15" numFmtId="0" xfId="0" applyAlignment="1" applyFont="1">
      <alignment horizontal="center" readingOrder="0"/>
    </xf>
    <xf borderId="0" fillId="12" fontId="15" numFmtId="0" xfId="0" applyAlignment="1" applyFont="1">
      <alignment horizontal="center" readingOrder="0"/>
    </xf>
    <xf borderId="0" fillId="0" fontId="15" numFmtId="0" xfId="0" applyAlignment="1" applyFont="1">
      <alignment horizontal="center"/>
    </xf>
    <xf borderId="0" fillId="21" fontId="15" numFmtId="0" xfId="0" applyAlignment="1" applyFont="1">
      <alignment horizontal="center" shrinkToFit="0" vertical="bottom" wrapText="0"/>
    </xf>
    <xf borderId="0" fillId="0" fontId="15" numFmtId="0" xfId="0" applyAlignment="1" applyFont="1">
      <alignment horizontal="center" shrinkToFit="0" vertical="bottom" wrapText="0"/>
    </xf>
    <xf borderId="0" fillId="21" fontId="15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12" fontId="10" numFmtId="0" xfId="0" applyFont="1"/>
    <xf borderId="0" fillId="0" fontId="16" numFmtId="0" xfId="0" applyAlignment="1" applyFont="1">
      <alignment horizontal="center" shrinkToFit="0" vertical="bottom" wrapText="0"/>
    </xf>
    <xf borderId="0" fillId="13" fontId="10" numFmtId="0" xfId="0" applyAlignment="1" applyFont="1">
      <alignment horizontal="center"/>
    </xf>
    <xf borderId="0" fillId="0" fontId="16" numFmtId="0" xfId="0" applyAlignment="1" applyFont="1">
      <alignment horizontal="center" readingOrder="0" shrinkToFit="0" vertical="bottom" wrapText="0"/>
    </xf>
    <xf borderId="0" fillId="12" fontId="15" numFmtId="0" xfId="0" applyAlignment="1" applyFont="1">
      <alignment horizontal="center" shrinkToFit="0" vertical="bottom" wrapText="0"/>
    </xf>
    <xf borderId="0" fillId="14" fontId="10" numFmtId="0" xfId="0" applyAlignment="1" applyFont="1">
      <alignment readingOrder="0"/>
    </xf>
    <xf borderId="0" fillId="14" fontId="10" numFmtId="0" xfId="0" applyFont="1"/>
    <xf borderId="0" fillId="0" fontId="1" numFmtId="0" xfId="0" applyAlignment="1" applyFont="1">
      <alignment readingOrder="0"/>
    </xf>
    <xf borderId="0" fillId="21" fontId="3" numFmtId="0" xfId="0" applyAlignment="1" applyFont="1">
      <alignment readingOrder="0"/>
    </xf>
    <xf borderId="0" fillId="14" fontId="3" numFmtId="167" xfId="0" applyAlignment="1" applyFont="1" applyNumberFormat="1">
      <alignment readingOrder="0"/>
    </xf>
    <xf borderId="0" fillId="3" fontId="3" numFmtId="167" xfId="0" applyAlignment="1" applyFont="1" applyNumberFormat="1">
      <alignment readingOrder="0"/>
    </xf>
    <xf borderId="0" fillId="14" fontId="3" numFmtId="0" xfId="0" applyFont="1"/>
    <xf borderId="6" fillId="14" fontId="3" numFmtId="0" xfId="0" applyAlignment="1" applyBorder="1" applyFont="1">
      <alignment readingOrder="0"/>
    </xf>
    <xf borderId="7" fillId="14" fontId="3" numFmtId="0" xfId="0" applyAlignment="1" applyBorder="1" applyFont="1">
      <alignment readingOrder="0"/>
    </xf>
    <xf borderId="7" fillId="3" fontId="3" numFmtId="0" xfId="0" applyAlignment="1" applyBorder="1" applyFont="1">
      <alignment readingOrder="0"/>
    </xf>
    <xf borderId="7" fillId="0" fontId="3" numFmtId="0" xfId="0" applyAlignment="1" applyBorder="1" applyFont="1">
      <alignment readingOrder="0"/>
    </xf>
    <xf borderId="8" fillId="0" fontId="3" numFmtId="0" xfId="0" applyBorder="1" applyFont="1"/>
    <xf borderId="9" fillId="14" fontId="3" numFmtId="0" xfId="0" applyBorder="1" applyFont="1"/>
    <xf borderId="10" fillId="0" fontId="3" numFmtId="0" xfId="0" applyBorder="1" applyFont="1"/>
    <xf borderId="9" fillId="14" fontId="3" numFmtId="0" xfId="0" applyAlignment="1" applyBorder="1" applyFont="1">
      <alignment readingOrder="0"/>
    </xf>
    <xf borderId="10" fillId="0" fontId="3" numFmtId="0" xfId="0" applyAlignment="1" applyBorder="1" applyFont="1">
      <alignment readingOrder="0"/>
    </xf>
    <xf borderId="0" fillId="3" fontId="1" numFmtId="0" xfId="0" applyAlignment="1" applyFont="1">
      <alignment readingOrder="0"/>
    </xf>
    <xf borderId="0" fillId="23" fontId="1" numFmtId="0" xfId="0" applyAlignment="1" applyFill="1" applyFont="1">
      <alignment readingOrder="0"/>
    </xf>
    <xf borderId="11" fillId="14" fontId="3" numFmtId="0" xfId="0" applyAlignment="1" applyBorder="1" applyFont="1">
      <alignment readingOrder="0"/>
    </xf>
    <xf borderId="12" fillId="14" fontId="3" numFmtId="0" xfId="0" applyAlignment="1" applyBorder="1" applyFont="1">
      <alignment readingOrder="0"/>
    </xf>
    <xf borderId="12" fillId="3" fontId="3" numFmtId="0" xfId="0" applyAlignment="1" applyBorder="1" applyFont="1">
      <alignment readingOrder="0"/>
    </xf>
    <xf borderId="12" fillId="0" fontId="3" numFmtId="0" xfId="0" applyAlignment="1" applyBorder="1" applyFont="1">
      <alignment readingOrder="0"/>
    </xf>
    <xf borderId="12" fillId="23" fontId="1" numFmtId="0" xfId="0" applyAlignment="1" applyBorder="1" applyFont="1">
      <alignment readingOrder="0"/>
    </xf>
    <xf borderId="13" fillId="0" fontId="3" numFmtId="0" xfId="0" applyBorder="1" applyFont="1"/>
    <xf borderId="1" fillId="24" fontId="17" numFmtId="0" xfId="0" applyAlignment="1" applyBorder="1" applyFill="1" applyFont="1">
      <alignment readingOrder="0" shrinkToFit="0" vertical="bottom" wrapText="0"/>
    </xf>
    <xf borderId="0" fillId="12" fontId="18" numFmtId="0" xfId="0" applyFont="1"/>
    <xf borderId="0" fillId="24" fontId="19" numFmtId="0" xfId="0" applyAlignment="1" applyFont="1">
      <alignment readingOrder="0"/>
    </xf>
    <xf borderId="0" fillId="24" fontId="1" numFmtId="0" xfId="0" applyAlignment="1" applyFont="1">
      <alignment readingOrder="0"/>
    </xf>
    <xf borderId="11" fillId="14" fontId="3" numFmtId="0" xfId="0" applyBorder="1" applyFont="1"/>
    <xf borderId="12" fillId="14" fontId="3" numFmtId="0" xfId="0" applyBorder="1" applyFont="1"/>
    <xf borderId="12" fillId="3" fontId="1" numFmtId="0" xfId="0" applyAlignment="1" applyBorder="1" applyFont="1">
      <alignment readingOrder="0"/>
    </xf>
    <xf borderId="12" fillId="0" fontId="1" numFmtId="0" xfId="0" applyAlignment="1" applyBorder="1" applyFont="1">
      <alignment readingOrder="0"/>
    </xf>
    <xf borderId="0" fillId="3" fontId="3" numFmtId="0" xfId="0" applyFont="1"/>
    <xf borderId="12" fillId="3" fontId="3" numFmtId="0" xfId="0" applyBorder="1" applyFont="1"/>
    <xf borderId="7" fillId="0" fontId="1" numFmtId="0" xfId="0" applyAlignment="1" applyBorder="1" applyFont="1">
      <alignment readingOrder="0"/>
    </xf>
    <xf borderId="8" fillId="0" fontId="3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0" fillId="3" fontId="1" numFmtId="0" xfId="0" applyAlignment="1" applyBorder="1" applyFont="1">
      <alignment readingOrder="0"/>
    </xf>
    <xf borderId="13" fillId="3" fontId="1" numFmtId="0" xfId="0" applyAlignment="1" applyBorder="1" applyFont="1">
      <alignment readingOrder="0"/>
    </xf>
    <xf borderId="0" fillId="0" fontId="3" numFmtId="0" xfId="0" applyFont="1"/>
    <xf borderId="12" fillId="0" fontId="3" numFmtId="0" xfId="0" applyBorder="1" applyFont="1"/>
    <xf borderId="6" fillId="14" fontId="10" numFmtId="0" xfId="0" applyAlignment="1" applyBorder="1" applyFont="1">
      <alignment readingOrder="0"/>
    </xf>
    <xf borderId="7" fillId="3" fontId="3" numFmtId="0" xfId="0" applyBorder="1" applyFont="1"/>
    <xf borderId="0" fillId="0" fontId="20" numFmtId="0" xfId="0" applyAlignment="1" applyFont="1">
      <alignment readingOrder="0"/>
    </xf>
    <xf borderId="9" fillId="14" fontId="10" numFmtId="0" xfId="0" applyAlignment="1" applyBorder="1" applyFont="1">
      <alignment readingOrder="0"/>
    </xf>
    <xf borderId="11" fillId="14" fontId="10" numFmtId="0" xfId="0" applyAlignment="1" applyBorder="1" applyFont="1">
      <alignment readingOrder="0"/>
    </xf>
    <xf borderId="7" fillId="0" fontId="3" numFmtId="0" xfId="0" applyBorder="1" applyFont="1"/>
    <xf borderId="0" fillId="24" fontId="3" numFmtId="0" xfId="0" applyAlignment="1" applyFont="1">
      <alignment readingOrder="0"/>
    </xf>
    <xf borderId="12" fillId="17" fontId="3" numFmtId="0" xfId="0" applyAlignment="1" applyBorder="1" applyFont="1">
      <alignment readingOrder="0"/>
    </xf>
    <xf borderId="12" fillId="22" fontId="3" numFmtId="0" xfId="0" applyAlignment="1" applyBorder="1" applyFont="1">
      <alignment readingOrder="0"/>
    </xf>
    <xf borderId="6" fillId="11" fontId="3" numFmtId="0" xfId="0" applyAlignment="1" applyBorder="1" applyFont="1">
      <alignment readingOrder="0"/>
    </xf>
    <xf borderId="7" fillId="11" fontId="3" numFmtId="0" xfId="0" applyAlignment="1" applyBorder="1" applyFont="1">
      <alignment readingOrder="0"/>
    </xf>
    <xf borderId="7" fillId="13" fontId="3" numFmtId="0" xfId="0" applyBorder="1" applyFont="1"/>
    <xf borderId="7" fillId="13" fontId="3" numFmtId="0" xfId="0" applyAlignment="1" applyBorder="1" applyFont="1">
      <alignment readingOrder="0"/>
    </xf>
    <xf borderId="9" fillId="11" fontId="3" numFmtId="0" xfId="0" applyBorder="1" applyFont="1"/>
    <xf borderId="9" fillId="11" fontId="3" numFmtId="0" xfId="0" applyAlignment="1" applyBorder="1" applyFont="1">
      <alignment readingOrder="0"/>
    </xf>
    <xf borderId="0" fillId="11" fontId="3" numFmtId="0" xfId="0" applyAlignment="1" applyFont="1">
      <alignment readingOrder="0"/>
    </xf>
    <xf borderId="7" fillId="14" fontId="3" numFmtId="0" xfId="0" applyBorder="1" applyFont="1"/>
    <xf borderId="7" fillId="11" fontId="3" numFmtId="0" xfId="0" applyBorder="1" applyFont="1"/>
    <xf borderId="11" fillId="11" fontId="3" numFmtId="0" xfId="0" applyBorder="1" applyFont="1"/>
    <xf borderId="12" fillId="11" fontId="3" numFmtId="0" xfId="0" applyBorder="1" applyFont="1"/>
    <xf borderId="12" fillId="13" fontId="3" numFmtId="0" xfId="0" applyBorder="1" applyFont="1"/>
    <xf borderId="0" fillId="25" fontId="3" numFmtId="0" xfId="0" applyAlignment="1" applyFill="1" applyFont="1">
      <alignment readingOrder="0"/>
    </xf>
    <xf borderId="0" fillId="25" fontId="21" numFmtId="0" xfId="0" applyAlignment="1" applyFont="1">
      <alignment horizontal="right" readingOrder="0" vertical="bottom"/>
    </xf>
    <xf borderId="1" fillId="25" fontId="21" numFmtId="0" xfId="0" applyAlignment="1" applyBorder="1" applyFont="1">
      <alignment horizontal="right" readingOrder="0" vertical="bottom"/>
    </xf>
    <xf borderId="0" fillId="25" fontId="1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7" fillId="26" fontId="3" numFmtId="0" xfId="0" applyAlignment="1" applyBorder="1" applyFont="1">
      <alignment readingOrder="0"/>
    </xf>
    <xf borderId="0" fillId="26" fontId="1" numFmtId="0" xfId="0" applyAlignment="1" applyFont="1">
      <alignment readingOrder="0"/>
    </xf>
    <xf borderId="9" fillId="26" fontId="3" numFmtId="0" xfId="0" applyBorder="1" applyFont="1"/>
    <xf borderId="6" fillId="27" fontId="3" numFmtId="0" xfId="0" applyAlignment="1" applyBorder="1" applyFill="1" applyFont="1">
      <alignment readingOrder="0"/>
    </xf>
    <xf borderId="7" fillId="27" fontId="3" numFmtId="0" xfId="0" applyAlignment="1" applyBorder="1" applyFont="1">
      <alignment readingOrder="0"/>
    </xf>
    <xf borderId="0" fillId="27" fontId="3" numFmtId="0" xfId="0" applyAlignment="1" applyFont="1">
      <alignment readingOrder="0"/>
    </xf>
    <xf borderId="0" fillId="27" fontId="1" numFmtId="0" xfId="0" applyAlignment="1" applyFont="1">
      <alignment readingOrder="0"/>
    </xf>
    <xf borderId="9" fillId="27" fontId="3" numFmtId="0" xfId="0" applyBorder="1" applyFont="1"/>
    <xf borderId="0" fillId="27" fontId="3" numFmtId="0" xfId="0" applyFont="1"/>
    <xf borderId="11" fillId="27" fontId="3" numFmtId="0" xfId="0" applyAlignment="1" applyBorder="1" applyFont="1">
      <alignment readingOrder="0"/>
    </xf>
    <xf borderId="12" fillId="27" fontId="3" numFmtId="0" xfId="0" applyAlignment="1" applyBorder="1" applyFont="1">
      <alignment readingOrder="0"/>
    </xf>
    <xf borderId="9" fillId="28" fontId="3" numFmtId="0" xfId="0" applyAlignment="1" applyBorder="1" applyFill="1" applyFont="1">
      <alignment readingOrder="0"/>
    </xf>
    <xf borderId="0" fillId="28" fontId="3" numFmtId="0" xfId="0" applyFont="1"/>
    <xf borderId="0" fillId="28" fontId="3" numFmtId="0" xfId="0" applyAlignment="1" applyFont="1">
      <alignment readingOrder="0"/>
    </xf>
    <xf borderId="1" fillId="29" fontId="2" numFmtId="0" xfId="0" applyAlignment="1" applyBorder="1" applyFill="1" applyFont="1">
      <alignment horizontal="center" shrinkToFit="0" vertical="bottom" wrapText="1"/>
    </xf>
    <xf borderId="1" fillId="12" fontId="9" numFmtId="0" xfId="0" applyAlignment="1" applyBorder="1" applyFont="1">
      <alignment horizontal="center" shrinkToFit="0" vertical="bottom" wrapText="0"/>
    </xf>
    <xf borderId="0" fillId="0" fontId="2" numFmtId="169" xfId="0" applyAlignment="1" applyFont="1" applyNumberForma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1"/>
    </xf>
    <xf borderId="0" fillId="3" fontId="15" numFmtId="0" xfId="0" applyAlignment="1" applyFont="1">
      <alignment horizontal="center" readingOrder="0" shrinkToFit="0" vertical="bottom" wrapText="1"/>
    </xf>
    <xf borderId="0" fillId="21" fontId="10" numFmtId="0" xfId="0" applyAlignment="1" applyFont="1">
      <alignment readingOrder="0"/>
    </xf>
    <xf borderId="0" fillId="14" fontId="15" numFmtId="0" xfId="0" applyAlignment="1" applyFont="1">
      <alignment horizontal="center"/>
    </xf>
    <xf borderId="0" fillId="14" fontId="15" numFmtId="0" xfId="0" applyAlignment="1" applyFont="1">
      <alignment horizontal="center" readingOrder="0"/>
    </xf>
    <xf borderId="0" fillId="16" fontId="10" numFmtId="0" xfId="0" applyFont="1"/>
    <xf borderId="0" fillId="14" fontId="15" numFmtId="0" xfId="0" applyAlignment="1" applyFont="1">
      <alignment horizontal="center" shrinkToFit="0" vertical="bottom" wrapText="0"/>
    </xf>
    <xf borderId="0" fillId="14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 readingOrder="0" shrinkToFit="0" vertical="bottom" wrapText="0"/>
    </xf>
    <xf borderId="0" fillId="3" fontId="15" numFmtId="0" xfId="0" applyAlignment="1" applyFont="1">
      <alignment horizontal="center"/>
    </xf>
    <xf borderId="0" fillId="21" fontId="10" numFmtId="0" xfId="0" applyFont="1"/>
    <xf borderId="0" fillId="21" fontId="16" numFmtId="0" xfId="0" applyAlignment="1" applyFont="1">
      <alignment horizontal="center" shrinkToFit="0" vertical="bottom" wrapText="0"/>
    </xf>
    <xf borderId="0" fillId="3" fontId="16" numFmtId="0" xfId="0" applyAlignment="1" applyFont="1">
      <alignment horizontal="center" readingOrder="0" shrinkToFit="0" vertical="bottom" wrapText="0"/>
    </xf>
    <xf borderId="0" fillId="3" fontId="16" numFmtId="0" xfId="0" applyAlignment="1" applyFont="1">
      <alignment horizontal="center" shrinkToFit="0" vertical="bottom" wrapText="0"/>
    </xf>
    <xf borderId="0" fillId="21" fontId="3" numFmtId="0" xfId="0" applyFont="1"/>
    <xf borderId="0" fillId="0" fontId="4" numFmtId="0" xfId="0" applyAlignment="1" applyFont="1">
      <alignment horizontal="center" shrinkToFit="0" vertical="bottom" wrapText="0"/>
    </xf>
    <xf borderId="14" fillId="0" fontId="2" numFmtId="0" xfId="0" applyAlignment="1" applyBorder="1" applyFont="1">
      <alignment horizontal="center" shrinkToFit="0" vertical="bottom" wrapText="0"/>
    </xf>
    <xf borderId="14" fillId="0" fontId="4" numFmtId="0" xfId="0" applyAlignment="1" applyBorder="1" applyFont="1">
      <alignment horizontal="center" shrinkToFit="0" vertical="bottom" wrapText="0"/>
    </xf>
    <xf borderId="1" fillId="30" fontId="2" numFmtId="0" xfId="0" applyAlignment="1" applyBorder="1" applyFill="1" applyFont="1">
      <alignment horizontal="center" shrinkToFit="0" vertical="bottom" wrapText="0"/>
    </xf>
    <xf borderId="1" fillId="31" fontId="2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63219"/>
        <c:axId val="169544174"/>
      </c:scatterChart>
      <c:valAx>
        <c:axId val="1022563219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69544174"/>
      </c:valAx>
      <c:valAx>
        <c:axId val="169544174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022563219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4729264"/>
        <c:axId val="201304012"/>
      </c:scatterChart>
      <c:valAx>
        <c:axId val="198472926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304012"/>
      </c:valAx>
      <c:valAx>
        <c:axId val="201304012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472926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1" t="s">
        <v>0</v>
      </c>
      <c r="B1" s="2"/>
      <c r="C1" s="2"/>
      <c r="D1" s="2"/>
      <c r="E1" s="2"/>
      <c r="F1" s="2"/>
      <c r="G1" s="2"/>
      <c r="H1" s="2"/>
      <c r="J1" s="3" t="s">
        <v>1</v>
      </c>
      <c r="O1" s="3" t="s">
        <v>2</v>
      </c>
      <c r="P1" s="3" t="s">
        <v>2</v>
      </c>
      <c r="Q1" s="3" t="s">
        <v>2</v>
      </c>
      <c r="R1" s="3" t="s">
        <v>2</v>
      </c>
      <c r="U1" s="3" t="s">
        <v>1</v>
      </c>
      <c r="Z1" s="3" t="s">
        <v>2</v>
      </c>
      <c r="AA1" s="3" t="s">
        <v>2</v>
      </c>
      <c r="AB1" s="3" t="s">
        <v>2</v>
      </c>
      <c r="AC1" s="3" t="s">
        <v>2</v>
      </c>
      <c r="AJ1" s="3" t="s">
        <v>1</v>
      </c>
      <c r="AK1" s="3" t="s">
        <v>1</v>
      </c>
      <c r="AQ1" s="3" t="s">
        <v>1</v>
      </c>
      <c r="AR1" s="3" t="s">
        <v>1</v>
      </c>
    </row>
    <row r="2" ht="12.75" customHeight="1">
      <c r="A2" s="4"/>
      <c r="B2" s="5">
        <v>45304.0</v>
      </c>
      <c r="C2" s="5">
        <v>45310.0</v>
      </c>
      <c r="D2" s="5">
        <v>45317.0</v>
      </c>
      <c r="E2" s="5">
        <v>45324.0</v>
      </c>
      <c r="F2" s="5">
        <v>45331.0</v>
      </c>
      <c r="G2" s="5">
        <v>45338.0</v>
      </c>
      <c r="H2" s="5">
        <v>45345.0</v>
      </c>
      <c r="I2" s="5">
        <v>45359.0</v>
      </c>
      <c r="J2" s="5">
        <v>45365.0</v>
      </c>
      <c r="K2" s="5">
        <v>45373.0</v>
      </c>
      <c r="L2" s="5">
        <v>45380.0</v>
      </c>
      <c r="M2" s="5">
        <v>45387.0</v>
      </c>
      <c r="N2" s="5">
        <v>45394.0</v>
      </c>
      <c r="O2" s="5">
        <v>45401.0</v>
      </c>
      <c r="P2" s="5">
        <v>45408.0</v>
      </c>
      <c r="Q2" s="5">
        <v>45415.0</v>
      </c>
      <c r="R2" s="5">
        <v>45422.0</v>
      </c>
      <c r="S2" s="5">
        <v>45429.0</v>
      </c>
      <c r="T2" s="5">
        <v>45436.0</v>
      </c>
      <c r="U2" s="5">
        <v>45443.0</v>
      </c>
      <c r="V2" s="5">
        <v>45450.0</v>
      </c>
      <c r="W2" s="5">
        <v>45457.0</v>
      </c>
      <c r="X2" s="5">
        <v>45464.0</v>
      </c>
      <c r="Y2" s="5">
        <v>45471.0</v>
      </c>
      <c r="Z2" s="5">
        <v>45478.0</v>
      </c>
      <c r="AA2" s="5">
        <v>45485.0</v>
      </c>
      <c r="AB2" s="5">
        <v>45492.0</v>
      </c>
      <c r="AC2" s="5">
        <v>45499.0</v>
      </c>
      <c r="AD2" s="5">
        <v>45506.0</v>
      </c>
      <c r="AE2" s="5">
        <v>45513.0</v>
      </c>
      <c r="AF2" s="5">
        <v>45520.0</v>
      </c>
      <c r="AG2" s="5">
        <v>45527.0</v>
      </c>
      <c r="AH2" s="5">
        <v>45534.0</v>
      </c>
      <c r="AI2" s="5">
        <v>45541.0</v>
      </c>
      <c r="AJ2" s="5">
        <v>45548.0</v>
      </c>
      <c r="AK2" s="4">
        <v>45553.0</v>
      </c>
      <c r="AL2" s="6">
        <v>45555.0</v>
      </c>
      <c r="AM2" s="4">
        <v>45562.0</v>
      </c>
      <c r="AN2" s="4">
        <v>45569.0</v>
      </c>
      <c r="AO2" s="4">
        <v>45576.0</v>
      </c>
      <c r="AP2" s="4">
        <v>45583.0</v>
      </c>
      <c r="AQ2" s="4">
        <v>45590.0</v>
      </c>
      <c r="AR2" s="4">
        <v>45598.0</v>
      </c>
    </row>
    <row r="3" ht="12.75" customHeight="1">
      <c r="B3" s="7">
        <v>48.0</v>
      </c>
      <c r="C3" s="7">
        <v>48.0</v>
      </c>
      <c r="D3" s="7">
        <v>48.0</v>
      </c>
      <c r="E3" s="7">
        <v>49.0</v>
      </c>
      <c r="F3" s="8">
        <v>52.0</v>
      </c>
      <c r="G3" s="7">
        <v>50.0</v>
      </c>
      <c r="H3" s="7">
        <v>51.0</v>
      </c>
      <c r="I3" s="7">
        <v>51.0</v>
      </c>
      <c r="J3" s="7">
        <v>55.0</v>
      </c>
      <c r="K3" s="8">
        <v>53.0</v>
      </c>
      <c r="L3" s="8">
        <v>53.0</v>
      </c>
      <c r="M3" s="7">
        <v>54.0</v>
      </c>
      <c r="N3" s="8">
        <v>54.0</v>
      </c>
      <c r="O3" s="9">
        <v>50.0</v>
      </c>
      <c r="P3" s="9">
        <v>51.0</v>
      </c>
      <c r="Q3" s="9">
        <v>52.0</v>
      </c>
      <c r="R3" s="9">
        <v>53.0</v>
      </c>
      <c r="S3" s="7">
        <v>54.0</v>
      </c>
      <c r="T3" s="7">
        <v>54.5</v>
      </c>
      <c r="U3" s="2">
        <v>56.0</v>
      </c>
      <c r="V3" s="8">
        <v>55.0</v>
      </c>
      <c r="W3" s="8">
        <v>55.0</v>
      </c>
      <c r="X3" s="8">
        <v>54.0</v>
      </c>
      <c r="Y3" s="7">
        <v>50.5</v>
      </c>
      <c r="Z3" s="9">
        <v>51.0</v>
      </c>
      <c r="AA3" s="9">
        <v>53.0</v>
      </c>
      <c r="AB3" s="9">
        <v>53.5</v>
      </c>
      <c r="AC3" s="9">
        <v>52.0</v>
      </c>
      <c r="AD3" s="7">
        <v>53.0</v>
      </c>
      <c r="AE3" s="7">
        <v>53.0</v>
      </c>
      <c r="AF3" s="7">
        <v>53.5</v>
      </c>
      <c r="AG3" s="10">
        <v>54.0</v>
      </c>
      <c r="AH3" s="7">
        <v>54.5</v>
      </c>
      <c r="AI3" s="8">
        <v>55.0</v>
      </c>
      <c r="AJ3" s="11">
        <v>54.0</v>
      </c>
      <c r="AK3" s="12">
        <v>56.0</v>
      </c>
      <c r="AL3" s="13">
        <v>54.5</v>
      </c>
      <c r="AM3" s="13">
        <v>55.0</v>
      </c>
      <c r="AN3" s="13">
        <v>55.5</v>
      </c>
      <c r="AO3" s="13">
        <v>56.0</v>
      </c>
      <c r="AP3" s="14">
        <v>56.5</v>
      </c>
      <c r="AQ3" s="12"/>
      <c r="AR3" s="15">
        <v>56.0</v>
      </c>
    </row>
    <row r="4" ht="12.75" customHeight="1">
      <c r="B4" s="7">
        <v>6.0</v>
      </c>
      <c r="C4" s="7">
        <v>6.0</v>
      </c>
      <c r="D4" s="7">
        <v>6.0</v>
      </c>
      <c r="E4" s="7">
        <v>6.0</v>
      </c>
      <c r="F4" s="8">
        <v>2.0</v>
      </c>
      <c r="G4" s="7">
        <v>6.0</v>
      </c>
      <c r="H4" s="7" t="s">
        <v>3</v>
      </c>
      <c r="I4" s="7">
        <v>6.0</v>
      </c>
      <c r="J4" s="7">
        <v>3.0</v>
      </c>
      <c r="K4" s="8" t="s">
        <v>4</v>
      </c>
      <c r="L4" s="8">
        <v>4.0</v>
      </c>
      <c r="M4" s="7">
        <v>4.0</v>
      </c>
      <c r="N4" s="8" t="s">
        <v>4</v>
      </c>
      <c r="O4" s="9">
        <v>3.0</v>
      </c>
      <c r="P4" s="9">
        <v>3.0</v>
      </c>
      <c r="Q4" s="9">
        <v>3.0</v>
      </c>
      <c r="R4" s="9">
        <v>3.0</v>
      </c>
      <c r="S4" s="7">
        <v>4.0</v>
      </c>
      <c r="T4" s="7">
        <v>4.0</v>
      </c>
      <c r="U4" s="2">
        <v>1.0</v>
      </c>
      <c r="V4" s="8" t="s">
        <v>4</v>
      </c>
      <c r="W4" s="8" t="s">
        <v>4</v>
      </c>
      <c r="X4" s="8">
        <v>2.0</v>
      </c>
      <c r="Y4" s="7">
        <v>6.0</v>
      </c>
      <c r="Z4" s="9">
        <v>3.0</v>
      </c>
      <c r="AA4" s="9">
        <v>3.0</v>
      </c>
      <c r="AB4" s="9">
        <v>3.0</v>
      </c>
      <c r="AC4" s="9">
        <v>3.0</v>
      </c>
      <c r="AD4" s="7">
        <v>4.0</v>
      </c>
      <c r="AE4" s="7">
        <v>4.0</v>
      </c>
      <c r="AF4" s="7">
        <v>4.0</v>
      </c>
      <c r="AG4" s="10">
        <v>4.0</v>
      </c>
      <c r="AH4" s="7">
        <v>4.0</v>
      </c>
      <c r="AI4" s="8" t="s">
        <v>4</v>
      </c>
      <c r="AJ4" s="11">
        <v>1.0</v>
      </c>
      <c r="AK4" s="12">
        <v>1.0</v>
      </c>
      <c r="AL4" s="13">
        <v>3.0</v>
      </c>
      <c r="AM4" s="13">
        <v>3.0</v>
      </c>
      <c r="AN4" s="13">
        <v>3.0</v>
      </c>
      <c r="AO4" s="13">
        <v>3.0</v>
      </c>
      <c r="AP4" s="14">
        <v>3.0</v>
      </c>
      <c r="AQ4" s="12"/>
      <c r="AR4" s="15">
        <v>1.0</v>
      </c>
    </row>
    <row r="5" ht="12.75" customHeight="1">
      <c r="B5" s="8">
        <v>48.0</v>
      </c>
      <c r="C5" s="8">
        <v>48.0</v>
      </c>
      <c r="D5" s="8">
        <v>48.0</v>
      </c>
      <c r="E5" s="8">
        <v>49.0</v>
      </c>
      <c r="F5" s="7">
        <v>50.0</v>
      </c>
      <c r="G5" s="8">
        <v>50.0</v>
      </c>
      <c r="H5" s="8">
        <v>51.0</v>
      </c>
      <c r="I5" s="8">
        <v>51.0</v>
      </c>
      <c r="J5" s="2">
        <v>56.0</v>
      </c>
      <c r="K5" s="7">
        <v>51.0</v>
      </c>
      <c r="L5" s="7">
        <v>51.0</v>
      </c>
      <c r="M5" s="8">
        <v>52.0</v>
      </c>
      <c r="N5" s="7">
        <v>52.0</v>
      </c>
      <c r="O5" s="16" t="s">
        <v>5</v>
      </c>
      <c r="P5" s="17"/>
      <c r="Q5" s="17"/>
      <c r="R5" s="18"/>
      <c r="S5" s="8">
        <v>53.0</v>
      </c>
      <c r="T5" s="8">
        <v>53.5</v>
      </c>
      <c r="U5" s="19">
        <v>58.0</v>
      </c>
      <c r="V5" s="7">
        <v>54.0</v>
      </c>
      <c r="W5" s="7">
        <v>54.0</v>
      </c>
      <c r="X5" s="8">
        <v>50.0</v>
      </c>
      <c r="Y5" s="8">
        <v>50.5</v>
      </c>
      <c r="Z5" s="16" t="s">
        <v>5</v>
      </c>
      <c r="AA5" s="17"/>
      <c r="AB5" s="17"/>
      <c r="AC5" s="18"/>
      <c r="AD5" s="8">
        <v>52.0</v>
      </c>
      <c r="AE5" s="8">
        <v>52.0</v>
      </c>
      <c r="AF5" s="8">
        <v>52.5</v>
      </c>
      <c r="AG5" s="20">
        <v>53.0</v>
      </c>
      <c r="AH5" s="20">
        <v>53.5</v>
      </c>
      <c r="AI5" s="7">
        <v>55.0</v>
      </c>
      <c r="AJ5" s="19">
        <v>58.0</v>
      </c>
      <c r="AK5" s="21">
        <v>58.0</v>
      </c>
      <c r="AL5" s="13">
        <v>53.5</v>
      </c>
      <c r="AM5" s="13">
        <v>54.0</v>
      </c>
      <c r="AN5" s="13">
        <v>54.5</v>
      </c>
      <c r="AO5" s="13">
        <v>55.0</v>
      </c>
      <c r="AP5" s="14">
        <v>55.5</v>
      </c>
      <c r="AQ5" s="12"/>
      <c r="AR5" s="21">
        <v>58.0</v>
      </c>
    </row>
    <row r="6" ht="12.75" customHeight="1">
      <c r="B6" s="8">
        <v>6.0</v>
      </c>
      <c r="C6" s="8">
        <v>6.0</v>
      </c>
      <c r="D6" s="8">
        <v>6.0</v>
      </c>
      <c r="E6" s="8">
        <v>6.0</v>
      </c>
      <c r="F6" s="7">
        <v>5.0</v>
      </c>
      <c r="G6" s="8">
        <v>6.0</v>
      </c>
      <c r="H6" s="8" t="s">
        <v>3</v>
      </c>
      <c r="I6" s="8" t="s">
        <v>3</v>
      </c>
      <c r="J6" s="2">
        <v>2.0</v>
      </c>
      <c r="K6" s="7" t="s">
        <v>3</v>
      </c>
      <c r="L6" s="7">
        <v>6.0</v>
      </c>
      <c r="M6" s="8" t="s">
        <v>3</v>
      </c>
      <c r="N6" s="7" t="s">
        <v>3</v>
      </c>
      <c r="O6" s="16" t="s">
        <v>6</v>
      </c>
      <c r="P6" s="17"/>
      <c r="Q6" s="17"/>
      <c r="R6" s="18"/>
      <c r="S6" s="8">
        <v>4.0</v>
      </c>
      <c r="T6" s="8">
        <v>4.0</v>
      </c>
      <c r="U6" s="19">
        <v>1.0</v>
      </c>
      <c r="V6" s="7">
        <v>4.0</v>
      </c>
      <c r="W6" s="7">
        <v>4.0</v>
      </c>
      <c r="X6" s="8">
        <v>5.0</v>
      </c>
      <c r="Y6" s="8">
        <v>5.0</v>
      </c>
      <c r="Z6" s="16" t="s">
        <v>6</v>
      </c>
      <c r="AA6" s="17"/>
      <c r="AB6" s="18"/>
      <c r="AC6" s="9" t="s">
        <v>7</v>
      </c>
      <c r="AD6" s="8">
        <v>4.0</v>
      </c>
      <c r="AE6" s="8">
        <v>4.0</v>
      </c>
      <c r="AF6" s="8">
        <v>4.0</v>
      </c>
      <c r="AG6" s="20">
        <v>4.0</v>
      </c>
      <c r="AH6" s="20">
        <v>4.0</v>
      </c>
      <c r="AI6" s="7">
        <v>4.0</v>
      </c>
      <c r="AJ6" s="19">
        <v>1.0</v>
      </c>
      <c r="AK6" s="21">
        <v>1.0</v>
      </c>
      <c r="AL6" s="13">
        <v>3.0</v>
      </c>
      <c r="AM6" s="13">
        <v>3.0</v>
      </c>
      <c r="AN6" s="13">
        <v>3.0</v>
      </c>
      <c r="AO6" s="13">
        <v>3.0</v>
      </c>
      <c r="AP6" s="14">
        <v>3.0</v>
      </c>
      <c r="AQ6" s="12"/>
      <c r="AR6" s="21">
        <v>1.0</v>
      </c>
    </row>
    <row r="7" ht="12.75" customHeight="1">
      <c r="B7" s="8">
        <v>48.0</v>
      </c>
      <c r="C7" s="8">
        <v>48.0</v>
      </c>
      <c r="D7" s="8">
        <v>48.0</v>
      </c>
      <c r="E7" s="8">
        <v>49.0</v>
      </c>
      <c r="F7" s="8">
        <v>50.0</v>
      </c>
      <c r="G7" s="8">
        <v>50.0</v>
      </c>
      <c r="H7" s="8">
        <v>51.0</v>
      </c>
      <c r="I7" s="8">
        <v>51.0</v>
      </c>
      <c r="J7" s="2">
        <v>57.0</v>
      </c>
      <c r="K7" s="8">
        <v>51.0</v>
      </c>
      <c r="L7" s="8">
        <v>51.0</v>
      </c>
      <c r="M7" s="8">
        <v>52.0</v>
      </c>
      <c r="N7" s="8">
        <v>52.0</v>
      </c>
      <c r="O7" s="16" t="s">
        <v>8</v>
      </c>
      <c r="P7" s="17"/>
      <c r="Q7" s="17"/>
      <c r="R7" s="18"/>
      <c r="S7" s="8">
        <v>52.0</v>
      </c>
      <c r="T7" s="8">
        <v>52.5</v>
      </c>
      <c r="U7" s="19">
        <v>59.0</v>
      </c>
      <c r="V7" s="8">
        <v>53.0</v>
      </c>
      <c r="W7" s="8">
        <v>53.0</v>
      </c>
      <c r="X7" s="7">
        <v>50.0</v>
      </c>
      <c r="Y7" s="8">
        <v>50.5</v>
      </c>
      <c r="Z7" s="16" t="s">
        <v>8</v>
      </c>
      <c r="AA7" s="17"/>
      <c r="AB7" s="17"/>
      <c r="AC7" s="18"/>
      <c r="AD7" s="8">
        <v>51.0</v>
      </c>
      <c r="AE7" s="8">
        <v>51.0</v>
      </c>
      <c r="AF7" s="8">
        <v>51.5</v>
      </c>
      <c r="AG7" s="8">
        <v>52.0</v>
      </c>
      <c r="AH7" s="20">
        <v>52.5</v>
      </c>
      <c r="AI7" s="8">
        <v>53.0</v>
      </c>
      <c r="AJ7" s="19">
        <v>60.0</v>
      </c>
      <c r="AK7" s="21">
        <v>59.0</v>
      </c>
      <c r="AL7" s="13">
        <v>52.5</v>
      </c>
      <c r="AM7" s="13">
        <v>53.0</v>
      </c>
      <c r="AN7" s="13">
        <v>53.5</v>
      </c>
      <c r="AO7" s="13">
        <v>54.0</v>
      </c>
      <c r="AP7" s="13">
        <v>54.5</v>
      </c>
      <c r="AQ7" s="12">
        <v>54.0</v>
      </c>
      <c r="AR7" s="21">
        <v>60.0</v>
      </c>
    </row>
    <row r="8" ht="12.75" customHeight="1">
      <c r="B8" s="8">
        <v>6.0</v>
      </c>
      <c r="C8" s="8">
        <v>6.0</v>
      </c>
      <c r="D8" s="8">
        <v>6.0</v>
      </c>
      <c r="E8" s="8">
        <v>6.0</v>
      </c>
      <c r="F8" s="8">
        <v>5.0</v>
      </c>
      <c r="G8" s="8">
        <v>6.0</v>
      </c>
      <c r="H8" s="8" t="s">
        <v>3</v>
      </c>
      <c r="I8" s="8" t="s">
        <v>3</v>
      </c>
      <c r="J8" s="2">
        <v>1.0</v>
      </c>
      <c r="K8" s="8" t="s">
        <v>3</v>
      </c>
      <c r="L8" s="8">
        <v>6.0</v>
      </c>
      <c r="M8" s="8" t="s">
        <v>3</v>
      </c>
      <c r="N8" s="8" t="s">
        <v>3</v>
      </c>
      <c r="O8" s="9"/>
      <c r="P8" s="9"/>
      <c r="Q8" s="9"/>
      <c r="R8" s="9"/>
      <c r="S8" s="22">
        <v>3.0</v>
      </c>
      <c r="T8" s="8">
        <v>4.0</v>
      </c>
      <c r="U8" s="19">
        <v>1.0</v>
      </c>
      <c r="V8" s="8">
        <v>4.0</v>
      </c>
      <c r="W8" s="8" t="s">
        <v>4</v>
      </c>
      <c r="X8" s="7">
        <v>6.0</v>
      </c>
      <c r="Y8" s="8">
        <v>5.0</v>
      </c>
      <c r="Z8" s="9"/>
      <c r="AA8" s="9"/>
      <c r="AB8" s="9"/>
      <c r="AC8" s="9"/>
      <c r="AD8" s="8">
        <v>4.0</v>
      </c>
      <c r="AE8" s="8">
        <v>4.0</v>
      </c>
      <c r="AF8" s="8">
        <v>4.0</v>
      </c>
      <c r="AG8" s="8">
        <v>4.0</v>
      </c>
      <c r="AH8" s="20">
        <v>4.0</v>
      </c>
      <c r="AI8" s="8">
        <v>4.0</v>
      </c>
      <c r="AJ8" s="19">
        <v>1.0</v>
      </c>
      <c r="AK8" s="21">
        <v>1.0</v>
      </c>
      <c r="AL8" s="13">
        <v>3.0</v>
      </c>
      <c r="AM8" s="13">
        <v>3.0</v>
      </c>
      <c r="AN8" s="13">
        <v>3.0</v>
      </c>
      <c r="AO8" s="13">
        <v>3.0</v>
      </c>
      <c r="AP8" s="13">
        <v>3.0</v>
      </c>
      <c r="AQ8" s="12">
        <v>1.0</v>
      </c>
      <c r="AR8" s="21">
        <v>1.0</v>
      </c>
    </row>
    <row r="9" ht="12.75" customHeight="1">
      <c r="B9" s="23">
        <v>44.0</v>
      </c>
      <c r="C9" s="23">
        <v>44.0</v>
      </c>
      <c r="D9" s="8">
        <v>48.0</v>
      </c>
      <c r="E9" s="23">
        <v>45.0</v>
      </c>
      <c r="F9" s="8">
        <v>50.0</v>
      </c>
      <c r="G9" s="8">
        <v>50.0</v>
      </c>
      <c r="H9" s="24">
        <v>47.0</v>
      </c>
      <c r="I9" s="24">
        <v>47.0</v>
      </c>
      <c r="J9" s="25">
        <v>57.5</v>
      </c>
      <c r="K9" s="24">
        <v>47.0</v>
      </c>
      <c r="L9" s="24">
        <v>47.0</v>
      </c>
      <c r="M9" s="24">
        <v>48.0</v>
      </c>
      <c r="N9" s="24">
        <v>48.0</v>
      </c>
      <c r="O9" s="9"/>
      <c r="P9" s="9"/>
      <c r="Q9" s="9"/>
      <c r="R9" s="9"/>
      <c r="S9" s="8">
        <v>51.0</v>
      </c>
      <c r="T9" s="8">
        <v>51.5</v>
      </c>
      <c r="U9" s="19">
        <v>60.0</v>
      </c>
      <c r="V9" s="8">
        <v>52.0</v>
      </c>
      <c r="W9" s="8">
        <v>52.0</v>
      </c>
      <c r="X9" s="8">
        <v>50.0</v>
      </c>
      <c r="Y9" s="8">
        <v>50.5</v>
      </c>
      <c r="Z9" s="9"/>
      <c r="AA9" s="9"/>
      <c r="AB9" s="9"/>
      <c r="AC9" s="9"/>
      <c r="AD9" s="8">
        <v>50.0</v>
      </c>
      <c r="AE9" s="8">
        <v>50.0</v>
      </c>
      <c r="AF9" s="8">
        <v>50.5</v>
      </c>
      <c r="AG9" s="8">
        <v>51.0</v>
      </c>
      <c r="AH9" s="8">
        <v>51.5</v>
      </c>
      <c r="AI9" s="8">
        <v>52.0</v>
      </c>
      <c r="AJ9" s="11">
        <v>62.0</v>
      </c>
      <c r="AK9" s="21">
        <v>60.0</v>
      </c>
      <c r="AL9" s="13">
        <v>51.5</v>
      </c>
      <c r="AM9" s="13">
        <v>52.0</v>
      </c>
      <c r="AN9" s="13">
        <v>52.5</v>
      </c>
      <c r="AO9" s="13">
        <v>53.0</v>
      </c>
      <c r="AP9" s="13">
        <v>53.5</v>
      </c>
      <c r="AQ9" s="21">
        <v>58.0</v>
      </c>
      <c r="AR9" s="21">
        <v>61.0</v>
      </c>
    </row>
    <row r="10" ht="12.75" customHeight="1">
      <c r="B10" s="23">
        <v>8.0</v>
      </c>
      <c r="C10" s="23">
        <v>8.0</v>
      </c>
      <c r="D10" s="8">
        <v>6.0</v>
      </c>
      <c r="E10" s="23">
        <v>8.0</v>
      </c>
      <c r="F10" s="8">
        <v>5.0</v>
      </c>
      <c r="G10" s="8">
        <v>6.0</v>
      </c>
      <c r="H10" s="24">
        <v>10.0</v>
      </c>
      <c r="I10" s="24" t="s">
        <v>9</v>
      </c>
      <c r="J10" s="25">
        <v>1.0</v>
      </c>
      <c r="K10" s="24" t="s">
        <v>9</v>
      </c>
      <c r="L10" s="24">
        <v>10.0</v>
      </c>
      <c r="M10" s="24">
        <v>9.0</v>
      </c>
      <c r="N10" s="24" t="s">
        <v>9</v>
      </c>
      <c r="O10" s="9"/>
      <c r="P10" s="9"/>
      <c r="Q10" s="9"/>
      <c r="R10" s="9"/>
      <c r="S10" s="8">
        <v>4.0</v>
      </c>
      <c r="T10" s="8">
        <v>4.0</v>
      </c>
      <c r="U10" s="19">
        <v>1.0</v>
      </c>
      <c r="V10" s="8">
        <v>4.0</v>
      </c>
      <c r="W10" s="8">
        <v>4.0</v>
      </c>
      <c r="X10" s="8">
        <v>5.0</v>
      </c>
      <c r="Y10" s="8">
        <v>5.0</v>
      </c>
      <c r="Z10" s="9"/>
      <c r="AA10" s="9"/>
      <c r="AB10" s="9"/>
      <c r="AC10" s="9"/>
      <c r="AD10" s="8">
        <v>4.0</v>
      </c>
      <c r="AE10" s="8">
        <v>4.0</v>
      </c>
      <c r="AF10" s="8">
        <v>4.0</v>
      </c>
      <c r="AG10" s="8">
        <v>4.0</v>
      </c>
      <c r="AH10" s="8">
        <v>4.0</v>
      </c>
      <c r="AI10" s="8">
        <v>4.0</v>
      </c>
      <c r="AJ10" s="11" t="s">
        <v>10</v>
      </c>
      <c r="AK10" s="21">
        <v>1.0</v>
      </c>
      <c r="AL10" s="13">
        <v>3.0</v>
      </c>
      <c r="AM10" s="13">
        <v>3.0</v>
      </c>
      <c r="AN10" s="13">
        <v>3.0</v>
      </c>
      <c r="AO10" s="13">
        <v>3.0</v>
      </c>
      <c r="AP10" s="13">
        <v>3.0</v>
      </c>
      <c r="AQ10" s="21">
        <v>1.0</v>
      </c>
      <c r="AR10" s="21">
        <v>1.0</v>
      </c>
    </row>
    <row r="11" ht="12.75" customHeight="1">
      <c r="B11" s="23">
        <v>44.0</v>
      </c>
      <c r="C11" s="23">
        <v>44.0</v>
      </c>
      <c r="D11" s="23">
        <v>44.0</v>
      </c>
      <c r="E11" s="23">
        <v>45.0</v>
      </c>
      <c r="F11" s="23">
        <v>46.0</v>
      </c>
      <c r="G11" s="23">
        <v>46.0</v>
      </c>
      <c r="H11" s="24">
        <v>47.0</v>
      </c>
      <c r="I11" s="24">
        <v>47.0</v>
      </c>
      <c r="J11" s="2">
        <v>58.0</v>
      </c>
      <c r="K11" s="24">
        <v>47.0</v>
      </c>
      <c r="L11" s="24">
        <v>47.0</v>
      </c>
      <c r="M11" s="24">
        <v>48.0</v>
      </c>
      <c r="N11" s="24">
        <v>48.0</v>
      </c>
      <c r="O11" s="9"/>
      <c r="P11" s="9"/>
      <c r="Q11" s="9"/>
      <c r="R11" s="9"/>
      <c r="S11" s="24">
        <v>47.0</v>
      </c>
      <c r="T11" s="24">
        <v>47.0</v>
      </c>
      <c r="U11" s="19">
        <v>61.0</v>
      </c>
      <c r="V11" s="24">
        <v>47.0</v>
      </c>
      <c r="W11" s="24">
        <v>47.0</v>
      </c>
      <c r="X11" s="24">
        <v>47.0</v>
      </c>
      <c r="Y11" s="24">
        <v>47.0</v>
      </c>
      <c r="Z11" s="9"/>
      <c r="AA11" s="9"/>
      <c r="AB11" s="9"/>
      <c r="AC11" s="9"/>
      <c r="AD11" s="24">
        <v>47.0</v>
      </c>
      <c r="AE11" s="24">
        <v>47.0</v>
      </c>
      <c r="AF11" s="24">
        <v>47.0</v>
      </c>
      <c r="AG11" s="24">
        <v>47.0</v>
      </c>
      <c r="AH11" s="24">
        <v>47.0</v>
      </c>
      <c r="AI11" s="24">
        <v>47.0</v>
      </c>
      <c r="AJ11" s="11">
        <v>61.0</v>
      </c>
      <c r="AK11" s="26">
        <v>61.0</v>
      </c>
      <c r="AL11" s="24">
        <v>47.0</v>
      </c>
      <c r="AM11" s="27">
        <v>47.0</v>
      </c>
      <c r="AN11" s="27">
        <v>47.0</v>
      </c>
      <c r="AO11" s="27">
        <v>47.0</v>
      </c>
      <c r="AP11" s="27">
        <v>47.0</v>
      </c>
      <c r="AQ11" s="12">
        <v>60.0</v>
      </c>
      <c r="AR11" s="21">
        <v>62.0</v>
      </c>
    </row>
    <row r="12" ht="12.75" customHeight="1">
      <c r="B12" s="23">
        <v>8.0</v>
      </c>
      <c r="C12" s="23">
        <v>8.0</v>
      </c>
      <c r="D12" s="23">
        <v>10.0</v>
      </c>
      <c r="E12" s="23">
        <v>10.0</v>
      </c>
      <c r="F12" s="23">
        <v>8.0</v>
      </c>
      <c r="G12" s="23">
        <v>10.0</v>
      </c>
      <c r="H12" s="24">
        <v>8.0</v>
      </c>
      <c r="I12" s="24" t="s">
        <v>11</v>
      </c>
      <c r="J12" s="2" t="s">
        <v>12</v>
      </c>
      <c r="K12" s="24">
        <v>8.0</v>
      </c>
      <c r="L12" s="24">
        <v>8.0</v>
      </c>
      <c r="M12" s="24">
        <v>8.0</v>
      </c>
      <c r="N12" s="24">
        <v>8.0</v>
      </c>
      <c r="O12" s="9"/>
      <c r="P12" s="9"/>
      <c r="Q12" s="9"/>
      <c r="R12" s="9"/>
      <c r="S12" s="24">
        <v>8.0</v>
      </c>
      <c r="T12" s="24">
        <v>10.0</v>
      </c>
      <c r="U12" s="19">
        <v>1.0</v>
      </c>
      <c r="V12" s="24">
        <v>10.0</v>
      </c>
      <c r="W12" s="24">
        <v>10.0</v>
      </c>
      <c r="X12" s="24">
        <v>8.0</v>
      </c>
      <c r="Y12" s="24">
        <v>8.0</v>
      </c>
      <c r="Z12" s="9"/>
      <c r="AA12" s="9"/>
      <c r="AB12" s="9"/>
      <c r="AC12" s="9"/>
      <c r="AD12" s="24">
        <v>8.0</v>
      </c>
      <c r="AE12" s="24">
        <v>8.0</v>
      </c>
      <c r="AF12" s="24">
        <v>9.0</v>
      </c>
      <c r="AG12" s="24">
        <v>9.0</v>
      </c>
      <c r="AH12" s="24">
        <v>10.0</v>
      </c>
      <c r="AI12" s="24">
        <v>10.0</v>
      </c>
      <c r="AJ12" s="11" t="s">
        <v>10</v>
      </c>
      <c r="AK12" s="26">
        <v>1.0</v>
      </c>
      <c r="AL12" s="24">
        <v>9.0</v>
      </c>
      <c r="AM12" s="27">
        <v>10.0</v>
      </c>
      <c r="AN12" s="27">
        <v>10.0</v>
      </c>
      <c r="AO12" s="27">
        <v>10.0</v>
      </c>
      <c r="AP12" s="27">
        <v>10.0</v>
      </c>
      <c r="AQ12" s="12" t="s">
        <v>10</v>
      </c>
      <c r="AR12" s="21">
        <v>1.0</v>
      </c>
    </row>
    <row r="13" ht="12.75" customHeight="1">
      <c r="B13" s="2"/>
      <c r="C13" s="28">
        <v>40.0</v>
      </c>
      <c r="D13" s="28">
        <v>40.0</v>
      </c>
      <c r="E13" s="28">
        <v>41.0</v>
      </c>
      <c r="F13" s="28">
        <v>42.0</v>
      </c>
      <c r="G13" s="28">
        <v>42.0</v>
      </c>
      <c r="H13" s="28">
        <v>43.0</v>
      </c>
      <c r="I13" s="28">
        <v>43.0</v>
      </c>
      <c r="J13" s="28">
        <v>43.0</v>
      </c>
      <c r="K13" s="28">
        <v>43.0</v>
      </c>
      <c r="L13" s="28">
        <v>43.0</v>
      </c>
      <c r="M13" s="28">
        <v>44.0</v>
      </c>
      <c r="N13" s="28">
        <v>44.0</v>
      </c>
      <c r="O13" s="9"/>
      <c r="P13" s="9"/>
      <c r="Q13" s="9"/>
      <c r="R13" s="9"/>
      <c r="S13" s="28">
        <v>42.0</v>
      </c>
      <c r="T13" s="28">
        <v>42.0</v>
      </c>
      <c r="U13" s="29">
        <v>62.0</v>
      </c>
      <c r="V13" s="28">
        <v>42.0</v>
      </c>
      <c r="W13" s="28">
        <v>42.0</v>
      </c>
      <c r="X13" s="28">
        <v>42.0</v>
      </c>
      <c r="Y13" s="28">
        <v>42.0</v>
      </c>
      <c r="Z13" s="9"/>
      <c r="AA13" s="9"/>
      <c r="AB13" s="9"/>
      <c r="AC13" s="9"/>
      <c r="AD13" s="28">
        <v>42.0</v>
      </c>
      <c r="AE13" s="28">
        <v>42.0</v>
      </c>
      <c r="AF13" s="28">
        <v>42.0</v>
      </c>
      <c r="AG13" s="28">
        <v>42.0</v>
      </c>
      <c r="AH13" s="28">
        <v>42.0</v>
      </c>
      <c r="AI13" s="28">
        <v>42.0</v>
      </c>
      <c r="AJ13" s="25">
        <v>60.5</v>
      </c>
      <c r="AK13" s="12">
        <v>61.5</v>
      </c>
      <c r="AL13" s="28">
        <v>42.0</v>
      </c>
      <c r="AM13" s="30">
        <v>42.0</v>
      </c>
      <c r="AN13" s="30">
        <v>42.0</v>
      </c>
      <c r="AO13" s="30">
        <v>42.0</v>
      </c>
      <c r="AP13" s="30">
        <v>42.0</v>
      </c>
      <c r="AQ13" s="26">
        <v>60.0</v>
      </c>
      <c r="AR13" s="31">
        <v>62.5</v>
      </c>
    </row>
    <row r="14" ht="12.75" customHeight="1">
      <c r="B14" s="2"/>
      <c r="C14" s="28">
        <v>14.0</v>
      </c>
      <c r="D14" s="28">
        <v>15.0</v>
      </c>
      <c r="E14" s="28">
        <v>15.0</v>
      </c>
      <c r="F14" s="28">
        <v>13.0</v>
      </c>
      <c r="G14" s="28">
        <v>14.0</v>
      </c>
      <c r="H14" s="28">
        <v>13.0</v>
      </c>
      <c r="I14" s="28" t="s">
        <v>13</v>
      </c>
      <c r="J14" s="28" t="s">
        <v>14</v>
      </c>
      <c r="K14" s="28">
        <v>14.0</v>
      </c>
      <c r="L14" s="28">
        <v>15.0</v>
      </c>
      <c r="M14" s="28">
        <v>12.0</v>
      </c>
      <c r="N14" s="28">
        <v>12.0</v>
      </c>
      <c r="O14" s="9"/>
      <c r="P14" s="9"/>
      <c r="Q14" s="9"/>
      <c r="R14" s="9"/>
      <c r="S14" s="28">
        <v>10.0</v>
      </c>
      <c r="T14" s="28">
        <v>16.0</v>
      </c>
      <c r="U14" s="29">
        <v>1.0</v>
      </c>
      <c r="V14" s="28">
        <v>14.0</v>
      </c>
      <c r="W14" s="28">
        <v>11.0</v>
      </c>
      <c r="X14" s="28">
        <v>12.0</v>
      </c>
      <c r="Y14" s="28">
        <v>12.0</v>
      </c>
      <c r="Z14" s="9"/>
      <c r="AA14" s="9"/>
      <c r="AB14" s="9"/>
      <c r="AC14" s="9"/>
      <c r="AD14" s="28">
        <v>12.0</v>
      </c>
      <c r="AE14" s="28">
        <v>13.0</v>
      </c>
      <c r="AF14" s="28">
        <v>13.0</v>
      </c>
      <c r="AG14" s="28">
        <v>14.0</v>
      </c>
      <c r="AH14" s="28">
        <v>15.0</v>
      </c>
      <c r="AI14" s="28">
        <v>15.0</v>
      </c>
      <c r="AJ14" s="25">
        <v>1.0</v>
      </c>
      <c r="AK14" s="12" t="s">
        <v>15</v>
      </c>
      <c r="AL14" s="28">
        <v>14.0</v>
      </c>
      <c r="AM14" s="30">
        <v>15.0</v>
      </c>
      <c r="AN14" s="30">
        <v>15.0</v>
      </c>
      <c r="AO14" s="30">
        <v>15.0</v>
      </c>
      <c r="AP14" s="30">
        <v>15.0</v>
      </c>
      <c r="AQ14" s="26">
        <v>1.0</v>
      </c>
      <c r="AR14" s="31">
        <v>1.0</v>
      </c>
    </row>
    <row r="15" ht="12.75" customHeight="1">
      <c r="A15" s="15" t="s">
        <v>16</v>
      </c>
      <c r="B15" s="32">
        <v>69.5</v>
      </c>
      <c r="C15" s="32">
        <v>69.0</v>
      </c>
      <c r="D15" s="32">
        <v>68.9</v>
      </c>
      <c r="E15" s="32">
        <v>68.7</v>
      </c>
      <c r="F15" s="32">
        <v>68.7</v>
      </c>
      <c r="G15" s="32">
        <v>68.2</v>
      </c>
      <c r="H15" s="32">
        <v>68.1</v>
      </c>
      <c r="I15" s="33">
        <v>68.0</v>
      </c>
      <c r="J15" s="34">
        <v>68.4</v>
      </c>
      <c r="K15" s="34">
        <v>68.8</v>
      </c>
      <c r="L15" s="33">
        <v>69.2</v>
      </c>
      <c r="M15" s="33">
        <v>68.6</v>
      </c>
      <c r="N15" s="33">
        <v>69.1</v>
      </c>
      <c r="O15" s="33">
        <v>68.7</v>
      </c>
      <c r="P15" s="33">
        <v>68.4</v>
      </c>
      <c r="Q15" s="33">
        <v>67.9</v>
      </c>
      <c r="R15" s="33">
        <v>68.1</v>
      </c>
      <c r="S15" s="33">
        <v>67.7</v>
      </c>
      <c r="T15" s="33">
        <v>68.5</v>
      </c>
      <c r="U15" s="33">
        <v>67.1</v>
      </c>
      <c r="V15" s="33">
        <v>67.6</v>
      </c>
      <c r="W15" s="33">
        <v>66.3</v>
      </c>
      <c r="X15" s="33">
        <v>66.3</v>
      </c>
      <c r="Y15" s="33">
        <v>66.1</v>
      </c>
      <c r="Z15" s="33">
        <v>65.5</v>
      </c>
      <c r="AA15" s="33">
        <v>66.0</v>
      </c>
      <c r="AB15" s="33">
        <v>65.5</v>
      </c>
      <c r="AC15" s="33">
        <v>65.8</v>
      </c>
      <c r="AD15" s="33">
        <v>64.5</v>
      </c>
      <c r="AE15" s="33">
        <v>65.3</v>
      </c>
      <c r="AF15" s="33">
        <v>64.6</v>
      </c>
      <c r="AG15" s="33">
        <v>64.6</v>
      </c>
      <c r="AH15" s="33">
        <v>64.7</v>
      </c>
      <c r="AI15" s="33">
        <v>65.0</v>
      </c>
      <c r="AJ15" s="33">
        <v>65.1</v>
      </c>
      <c r="AK15" s="33">
        <v>65.6</v>
      </c>
      <c r="AL15" s="33">
        <v>65.9</v>
      </c>
      <c r="AM15" s="33">
        <v>65.7</v>
      </c>
      <c r="AN15" s="33">
        <v>64.8</v>
      </c>
      <c r="AO15" s="33">
        <v>64.1</v>
      </c>
      <c r="AP15" s="33">
        <v>64.7</v>
      </c>
      <c r="AQ15" s="33">
        <v>64.5</v>
      </c>
      <c r="AR15" s="33">
        <v>64.3</v>
      </c>
    </row>
    <row r="16" ht="12.75" customHeight="1">
      <c r="A16" s="3" t="s">
        <v>17</v>
      </c>
      <c r="B16" s="5">
        <v>45304.0</v>
      </c>
      <c r="C16" s="5">
        <v>45310.0</v>
      </c>
      <c r="D16" s="5">
        <v>45317.0</v>
      </c>
      <c r="E16" s="5">
        <v>45324.0</v>
      </c>
      <c r="F16" s="5">
        <v>45331.0</v>
      </c>
      <c r="G16" s="5">
        <v>45338.0</v>
      </c>
      <c r="H16" s="5">
        <v>45345.0</v>
      </c>
      <c r="I16" s="5">
        <v>45359.0</v>
      </c>
      <c r="J16" s="5">
        <v>45365.0</v>
      </c>
      <c r="K16" s="5">
        <v>45373.0</v>
      </c>
      <c r="L16" s="5">
        <v>45380.0</v>
      </c>
      <c r="M16" s="5">
        <v>45387.0</v>
      </c>
      <c r="N16" s="5">
        <v>45394.0</v>
      </c>
      <c r="O16" s="5">
        <v>45401.0</v>
      </c>
      <c r="P16" s="5">
        <v>45408.0</v>
      </c>
      <c r="Q16" s="5">
        <v>45415.0</v>
      </c>
      <c r="R16" s="5">
        <v>45422.0</v>
      </c>
      <c r="S16" s="5">
        <v>45429.0</v>
      </c>
      <c r="T16" s="5">
        <v>45436.0</v>
      </c>
      <c r="U16" s="5">
        <v>45443.0</v>
      </c>
      <c r="V16" s="5">
        <v>45450.0</v>
      </c>
      <c r="W16" s="5">
        <v>45457.0</v>
      </c>
      <c r="X16" s="5">
        <v>45464.0</v>
      </c>
      <c r="Y16" s="5">
        <v>45471.0</v>
      </c>
      <c r="Z16" s="5">
        <v>45478.0</v>
      </c>
      <c r="AA16" s="5">
        <v>45485.0</v>
      </c>
      <c r="AB16" s="5">
        <v>45492.0</v>
      </c>
      <c r="AC16" s="5">
        <v>45499.0</v>
      </c>
      <c r="AD16" s="5">
        <v>45506.0</v>
      </c>
      <c r="AE16" s="5">
        <v>45513.0</v>
      </c>
      <c r="AF16" s="5">
        <v>45520.0</v>
      </c>
      <c r="AG16" s="5">
        <v>45527.0</v>
      </c>
      <c r="AH16" s="5">
        <v>45534.0</v>
      </c>
      <c r="AI16" s="5">
        <v>45541.0</v>
      </c>
      <c r="AJ16" s="5">
        <v>45548.0</v>
      </c>
      <c r="AK16" s="4">
        <v>45553.0</v>
      </c>
      <c r="AL16" s="4">
        <v>45555.0</v>
      </c>
      <c r="AM16" s="4">
        <v>45562.0</v>
      </c>
      <c r="AN16" s="4">
        <v>45569.0</v>
      </c>
      <c r="AO16" s="4">
        <v>45576.0</v>
      </c>
      <c r="AP16" s="4">
        <v>45583.0</v>
      </c>
      <c r="AQ16" s="4">
        <v>45590.0</v>
      </c>
      <c r="AR16" s="4">
        <v>45598.0</v>
      </c>
    </row>
    <row r="17" ht="12.75" customHeight="1">
      <c r="A17" s="15" t="s">
        <v>18</v>
      </c>
      <c r="B17" s="35"/>
      <c r="C17" s="35"/>
      <c r="D17" s="35"/>
      <c r="E17" s="35"/>
      <c r="F17" s="35"/>
      <c r="G17" s="35"/>
      <c r="H17" s="35"/>
      <c r="I17" s="35"/>
      <c r="J17" s="36">
        <v>65.5</v>
      </c>
      <c r="K17" s="2"/>
      <c r="L17" s="2"/>
      <c r="M17" s="2"/>
      <c r="N17" s="2"/>
      <c r="O17" s="2"/>
      <c r="P17" s="2"/>
      <c r="Q17" s="2"/>
      <c r="R17" s="2"/>
      <c r="S17" s="2"/>
      <c r="T17" s="2"/>
      <c r="U17" s="36">
        <v>70.0</v>
      </c>
      <c r="V17" s="2"/>
      <c r="W17" s="2"/>
      <c r="X17" s="2"/>
      <c r="Y17" s="2"/>
      <c r="Z17" s="2"/>
      <c r="AA17" s="2"/>
      <c r="AB17" s="2"/>
      <c r="AC17" s="19">
        <v>66.0</v>
      </c>
      <c r="AD17" s="2"/>
      <c r="AE17" s="2"/>
      <c r="AF17" s="19">
        <v>66.0</v>
      </c>
      <c r="AG17" s="19">
        <v>66.0</v>
      </c>
      <c r="AH17" s="19">
        <v>66.5</v>
      </c>
      <c r="AI17" s="19">
        <v>67.0</v>
      </c>
      <c r="AJ17" s="25">
        <v>68.5</v>
      </c>
      <c r="AK17" s="26">
        <v>69.0</v>
      </c>
      <c r="AM17" s="21">
        <v>66.0</v>
      </c>
      <c r="AN17" s="21">
        <v>66.0</v>
      </c>
      <c r="AO17" s="21">
        <v>66.0</v>
      </c>
      <c r="AP17" s="21">
        <v>66.0</v>
      </c>
      <c r="AQ17" s="26">
        <v>68.0</v>
      </c>
      <c r="AR17" s="37">
        <v>70.5</v>
      </c>
    </row>
    <row r="18" ht="12.75" customHeight="1">
      <c r="A18" s="15" t="s">
        <v>19</v>
      </c>
      <c r="B18" s="8">
        <v>66.0</v>
      </c>
      <c r="C18" s="8">
        <v>66.0</v>
      </c>
      <c r="D18" s="8">
        <v>66.0</v>
      </c>
      <c r="E18" s="8">
        <v>67.2</v>
      </c>
      <c r="F18" s="8">
        <v>66.7</v>
      </c>
      <c r="G18" s="8">
        <v>68.4</v>
      </c>
      <c r="H18" s="8">
        <v>67.8</v>
      </c>
      <c r="I18" s="8">
        <v>69.6</v>
      </c>
      <c r="J18" s="8">
        <v>68.5</v>
      </c>
      <c r="K18" s="8">
        <v>67.8</v>
      </c>
      <c r="L18" s="8">
        <v>69.6</v>
      </c>
      <c r="M18" s="8">
        <v>69.4</v>
      </c>
      <c r="N18" s="8">
        <v>69.0</v>
      </c>
      <c r="O18" s="2"/>
      <c r="P18" s="2"/>
      <c r="Q18" s="2"/>
      <c r="R18" s="2"/>
      <c r="S18" s="8">
        <v>69.4</v>
      </c>
      <c r="T18" s="8">
        <v>70.0</v>
      </c>
      <c r="U18" s="2"/>
      <c r="V18" s="8">
        <v>69.4</v>
      </c>
      <c r="W18" s="8">
        <v>69.4</v>
      </c>
      <c r="X18" s="8">
        <v>68.4</v>
      </c>
      <c r="Y18" s="8">
        <v>69.0</v>
      </c>
      <c r="Z18" s="2"/>
      <c r="AA18" s="2"/>
      <c r="AB18" s="2"/>
      <c r="AC18" s="2"/>
      <c r="AD18" s="8">
        <v>68.3</v>
      </c>
      <c r="AE18" s="8">
        <v>68.3</v>
      </c>
      <c r="AF18" s="8">
        <v>68.9</v>
      </c>
      <c r="AG18" s="8">
        <v>69.4</v>
      </c>
      <c r="AH18" s="8">
        <v>70.0</v>
      </c>
      <c r="AI18" s="8">
        <v>70.6</v>
      </c>
      <c r="AJ18" s="2"/>
      <c r="AL18" s="8">
        <v>68.0</v>
      </c>
      <c r="AM18" s="13">
        <v>68.5</v>
      </c>
      <c r="AN18" s="13">
        <v>69.1</v>
      </c>
      <c r="AO18" s="13">
        <v>69.6</v>
      </c>
      <c r="AP18" s="13">
        <v>70.1</v>
      </c>
      <c r="AQ18" s="12"/>
    </row>
    <row r="19" ht="12.75" customHeight="1">
      <c r="A19" s="15" t="s">
        <v>20</v>
      </c>
      <c r="B19" s="24">
        <v>64.3</v>
      </c>
      <c r="C19" s="24">
        <v>64.3</v>
      </c>
      <c r="D19" s="24">
        <v>67.4</v>
      </c>
      <c r="E19" s="24">
        <v>68.7</v>
      </c>
      <c r="F19" s="24">
        <v>66.8</v>
      </c>
      <c r="G19" s="24">
        <v>70.0</v>
      </c>
      <c r="H19" s="24">
        <v>71.3</v>
      </c>
      <c r="I19" s="24">
        <v>69.6</v>
      </c>
      <c r="J19" s="11"/>
      <c r="K19" s="24">
        <v>69.6</v>
      </c>
      <c r="L19" s="24">
        <v>71.3</v>
      </c>
      <c r="M19" s="24">
        <v>70.9</v>
      </c>
      <c r="N19" s="24">
        <v>70.9</v>
      </c>
      <c r="O19" s="2"/>
      <c r="P19" s="2"/>
      <c r="Q19" s="2"/>
      <c r="R19" s="2"/>
      <c r="S19" s="24">
        <v>68.0</v>
      </c>
      <c r="T19" s="24">
        <v>71.3</v>
      </c>
      <c r="U19" s="2"/>
      <c r="V19" s="24">
        <v>71.3</v>
      </c>
      <c r="W19" s="24">
        <v>71.3</v>
      </c>
      <c r="X19" s="24">
        <v>68.0</v>
      </c>
      <c r="Y19" s="24">
        <v>68.0</v>
      </c>
      <c r="Z19" s="2"/>
      <c r="AA19" s="2"/>
      <c r="AB19" s="2"/>
      <c r="AC19" s="2"/>
      <c r="AD19" s="24">
        <v>68.0</v>
      </c>
      <c r="AE19" s="24">
        <v>68.0</v>
      </c>
      <c r="AF19" s="24">
        <v>69.6</v>
      </c>
      <c r="AG19" s="24">
        <v>69.6</v>
      </c>
      <c r="AH19" s="24">
        <v>71.3</v>
      </c>
      <c r="AI19" s="24">
        <v>71.3</v>
      </c>
      <c r="AJ19" s="2"/>
      <c r="AL19" s="24">
        <v>69.6</v>
      </c>
      <c r="AM19" s="27">
        <v>71.3</v>
      </c>
      <c r="AN19" s="27">
        <v>71.3</v>
      </c>
      <c r="AO19" s="27">
        <v>71.3</v>
      </c>
      <c r="AP19" s="27">
        <v>71.3</v>
      </c>
      <c r="AQ19" s="12"/>
    </row>
    <row r="20" ht="12.75" customHeight="1">
      <c r="A20" s="15" t="s">
        <v>21</v>
      </c>
      <c r="B20" s="11"/>
      <c r="C20" s="28">
        <v>66.4</v>
      </c>
      <c r="D20" s="28">
        <v>67.5</v>
      </c>
      <c r="E20" s="28">
        <v>68.9</v>
      </c>
      <c r="F20" s="28">
        <v>68.1</v>
      </c>
      <c r="G20" s="28">
        <v>69.2</v>
      </c>
      <c r="H20" s="28">
        <v>69.5</v>
      </c>
      <c r="I20" s="28">
        <v>69.5</v>
      </c>
      <c r="J20" s="11"/>
      <c r="K20" s="28">
        <v>70.6</v>
      </c>
      <c r="L20" s="28">
        <v>71.7</v>
      </c>
      <c r="M20" s="28">
        <v>69.7</v>
      </c>
      <c r="N20" s="28">
        <v>69.7</v>
      </c>
      <c r="O20" s="2"/>
      <c r="P20" s="2"/>
      <c r="Q20" s="2"/>
      <c r="R20" s="2"/>
      <c r="S20" s="28">
        <v>64.8</v>
      </c>
      <c r="T20" s="28">
        <v>71.3</v>
      </c>
      <c r="U20" s="2"/>
      <c r="V20" s="28">
        <v>69.2</v>
      </c>
      <c r="W20" s="28">
        <v>65.9</v>
      </c>
      <c r="X20" s="28">
        <v>67.0</v>
      </c>
      <c r="Y20" s="28">
        <v>67.0</v>
      </c>
      <c r="Z20" s="2"/>
      <c r="AA20" s="2"/>
      <c r="AB20" s="2"/>
      <c r="AC20" s="2"/>
      <c r="AD20" s="28">
        <v>67.0</v>
      </c>
      <c r="AE20" s="28">
        <v>68.1</v>
      </c>
      <c r="AF20" s="28">
        <v>68.1</v>
      </c>
      <c r="AG20" s="28">
        <v>69.2</v>
      </c>
      <c r="AH20" s="28">
        <v>70.3</v>
      </c>
      <c r="AI20" s="28">
        <v>70.3</v>
      </c>
      <c r="AJ20" s="2"/>
      <c r="AL20" s="28">
        <v>69.2</v>
      </c>
      <c r="AM20" s="30">
        <v>70.3</v>
      </c>
      <c r="AN20" s="30">
        <v>70.3</v>
      </c>
      <c r="AO20" s="30">
        <v>70.3</v>
      </c>
      <c r="AP20" s="30">
        <v>70.3</v>
      </c>
      <c r="AQ20" s="12"/>
    </row>
    <row r="21" ht="12.75" customHeight="1">
      <c r="A21" s="15" t="s">
        <v>22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9">
        <v>63.1</v>
      </c>
      <c r="P21" s="9">
        <v>64.2</v>
      </c>
      <c r="Q21" s="9">
        <v>65.2</v>
      </c>
      <c r="R21" s="9">
        <v>66.3</v>
      </c>
      <c r="S21" s="2"/>
      <c r="T21" s="2"/>
      <c r="U21" s="2"/>
      <c r="V21" s="2"/>
      <c r="W21" s="2"/>
      <c r="X21" s="2"/>
      <c r="Y21" s="2"/>
      <c r="Z21" s="9">
        <v>64.2</v>
      </c>
      <c r="AA21" s="9">
        <v>66.3</v>
      </c>
      <c r="AB21" s="9">
        <v>66.9</v>
      </c>
      <c r="AC21" s="9">
        <v>65.2</v>
      </c>
      <c r="AD21" s="2"/>
      <c r="AE21" s="2"/>
      <c r="AF21" s="2"/>
      <c r="AG21" s="2"/>
      <c r="AH21" s="2"/>
      <c r="AI21" s="2"/>
      <c r="AJ21" s="2"/>
    </row>
    <row r="22" ht="12.75" customHeight="1">
      <c r="A22" s="38" t="s">
        <v>23</v>
      </c>
      <c r="B22" s="39">
        <f t="shared" ref="B22:AR22" si="1">AVERAGE(B18:B20)</f>
        <v>65.15</v>
      </c>
      <c r="C22" s="39">
        <f t="shared" si="1"/>
        <v>65.56666667</v>
      </c>
      <c r="D22" s="39">
        <f t="shared" si="1"/>
        <v>66.96666667</v>
      </c>
      <c r="E22" s="39">
        <f t="shared" si="1"/>
        <v>68.26666667</v>
      </c>
      <c r="F22" s="39">
        <f t="shared" si="1"/>
        <v>67.2</v>
      </c>
      <c r="G22" s="39">
        <f t="shared" si="1"/>
        <v>69.2</v>
      </c>
      <c r="H22" s="39">
        <f t="shared" si="1"/>
        <v>69.53333333</v>
      </c>
      <c r="I22" s="39">
        <f t="shared" si="1"/>
        <v>69.56666667</v>
      </c>
      <c r="J22" s="39">
        <f t="shared" si="1"/>
        <v>68.5</v>
      </c>
      <c r="K22" s="39">
        <f t="shared" si="1"/>
        <v>69.33333333</v>
      </c>
      <c r="L22" s="39">
        <f t="shared" si="1"/>
        <v>70.86666667</v>
      </c>
      <c r="M22" s="39">
        <f t="shared" si="1"/>
        <v>70</v>
      </c>
      <c r="N22" s="39">
        <f t="shared" si="1"/>
        <v>69.86666667</v>
      </c>
      <c r="O22" s="39" t="str">
        <f t="shared" si="1"/>
        <v>#DIV/0!</v>
      </c>
      <c r="P22" s="39" t="str">
        <f t="shared" si="1"/>
        <v>#DIV/0!</v>
      </c>
      <c r="Q22" s="39" t="str">
        <f t="shared" si="1"/>
        <v>#DIV/0!</v>
      </c>
      <c r="R22" s="39" t="str">
        <f t="shared" si="1"/>
        <v>#DIV/0!</v>
      </c>
      <c r="S22" s="39">
        <f t="shared" si="1"/>
        <v>67.4</v>
      </c>
      <c r="T22" s="39">
        <f t="shared" si="1"/>
        <v>70.86666667</v>
      </c>
      <c r="U22" s="39" t="str">
        <f t="shared" si="1"/>
        <v>#DIV/0!</v>
      </c>
      <c r="V22" s="39">
        <f t="shared" si="1"/>
        <v>69.96666667</v>
      </c>
      <c r="W22" s="39">
        <f t="shared" si="1"/>
        <v>68.86666667</v>
      </c>
      <c r="X22" s="39">
        <f t="shared" si="1"/>
        <v>67.8</v>
      </c>
      <c r="Y22" s="39">
        <f t="shared" si="1"/>
        <v>68</v>
      </c>
      <c r="Z22" s="39" t="str">
        <f t="shared" si="1"/>
        <v>#DIV/0!</v>
      </c>
      <c r="AA22" s="39" t="str">
        <f t="shared" si="1"/>
        <v>#DIV/0!</v>
      </c>
      <c r="AB22" s="39" t="str">
        <f t="shared" si="1"/>
        <v>#DIV/0!</v>
      </c>
      <c r="AC22" s="39" t="str">
        <f t="shared" si="1"/>
        <v>#DIV/0!</v>
      </c>
      <c r="AD22" s="39">
        <f t="shared" si="1"/>
        <v>67.76666667</v>
      </c>
      <c r="AE22" s="39">
        <f t="shared" si="1"/>
        <v>68.13333333</v>
      </c>
      <c r="AF22" s="39">
        <f t="shared" si="1"/>
        <v>68.86666667</v>
      </c>
      <c r="AG22" s="39">
        <f t="shared" si="1"/>
        <v>69.4</v>
      </c>
      <c r="AH22" s="39">
        <f t="shared" si="1"/>
        <v>70.53333333</v>
      </c>
      <c r="AI22" s="39">
        <f t="shared" si="1"/>
        <v>70.73333333</v>
      </c>
      <c r="AJ22" s="39" t="str">
        <f t="shared" si="1"/>
        <v>#DIV/0!</v>
      </c>
      <c r="AK22" s="39" t="str">
        <f t="shared" si="1"/>
        <v>#DIV/0!</v>
      </c>
      <c r="AL22" s="39">
        <f t="shared" si="1"/>
        <v>68.93333333</v>
      </c>
      <c r="AM22" s="39">
        <f t="shared" si="1"/>
        <v>70.03333333</v>
      </c>
      <c r="AN22" s="39">
        <f t="shared" si="1"/>
        <v>70.23333333</v>
      </c>
      <c r="AO22" s="39">
        <f t="shared" si="1"/>
        <v>70.4</v>
      </c>
      <c r="AP22" s="39">
        <f t="shared" si="1"/>
        <v>70.56666667</v>
      </c>
      <c r="AQ22" s="39" t="str">
        <f t="shared" si="1"/>
        <v>#DIV/0!</v>
      </c>
      <c r="AR22" s="39" t="str">
        <f t="shared" si="1"/>
        <v>#DIV/0!</v>
      </c>
    </row>
    <row r="23" ht="12.75" customHeight="1">
      <c r="A23" s="15" t="s">
        <v>16</v>
      </c>
      <c r="B23" s="2">
        <v>69.5</v>
      </c>
      <c r="C23" s="2">
        <v>69.0</v>
      </c>
      <c r="D23" s="2">
        <v>68.9</v>
      </c>
      <c r="E23" s="2">
        <v>68.7</v>
      </c>
      <c r="F23" s="2">
        <v>68.7</v>
      </c>
      <c r="G23" s="2">
        <v>68.2</v>
      </c>
      <c r="H23" s="2">
        <v>68.1</v>
      </c>
      <c r="I23" s="15">
        <v>68.0</v>
      </c>
      <c r="J23" s="40">
        <v>68.4</v>
      </c>
      <c r="K23" s="40">
        <v>68.8</v>
      </c>
      <c r="L23" s="15">
        <v>69.2</v>
      </c>
      <c r="M23" s="15">
        <v>68.6</v>
      </c>
      <c r="N23" s="15">
        <v>69.1</v>
      </c>
      <c r="O23" s="15">
        <v>68.7</v>
      </c>
      <c r="P23" s="15">
        <v>68.4</v>
      </c>
      <c r="Q23" s="15">
        <v>67.9</v>
      </c>
      <c r="R23" s="15">
        <v>68.1</v>
      </c>
      <c r="S23" s="15">
        <v>67.7</v>
      </c>
      <c r="T23" s="15">
        <v>68.5</v>
      </c>
      <c r="U23" s="15">
        <v>67.1</v>
      </c>
      <c r="V23" s="15">
        <v>67.6</v>
      </c>
      <c r="W23" s="15">
        <v>66.3</v>
      </c>
      <c r="X23" s="15">
        <v>66.3</v>
      </c>
      <c r="Y23" s="15">
        <v>66.1</v>
      </c>
      <c r="Z23" s="15">
        <v>65.5</v>
      </c>
      <c r="AA23" s="15">
        <v>66.0</v>
      </c>
      <c r="AB23" s="15">
        <v>65.5</v>
      </c>
      <c r="AC23" s="15">
        <v>65.8</v>
      </c>
      <c r="AD23" s="15">
        <v>64.5</v>
      </c>
      <c r="AE23" s="15">
        <v>65.3</v>
      </c>
      <c r="AF23" s="15">
        <v>64.6</v>
      </c>
      <c r="AG23" s="15">
        <v>64.6</v>
      </c>
      <c r="AH23" s="15">
        <v>64.7</v>
      </c>
      <c r="AI23" s="15">
        <v>65.0</v>
      </c>
      <c r="AJ23" s="15">
        <v>65.1</v>
      </c>
      <c r="AK23" s="15">
        <v>65.6</v>
      </c>
      <c r="AL23" s="15">
        <v>65.9</v>
      </c>
      <c r="AM23" s="15">
        <v>65.7</v>
      </c>
      <c r="AN23" s="15">
        <v>64.8</v>
      </c>
      <c r="AO23" s="15">
        <v>64.1</v>
      </c>
      <c r="AP23" s="15">
        <v>64.7</v>
      </c>
      <c r="AQ23" s="15">
        <v>64.5</v>
      </c>
      <c r="AR23" s="15">
        <v>64.3</v>
      </c>
    </row>
    <row r="24" ht="12.75" customHeight="1">
      <c r="A24" s="41" t="s">
        <v>24</v>
      </c>
      <c r="B24" s="2">
        <f t="shared" ref="B24:AR24" si="2">B23*1.1</f>
        <v>76.45</v>
      </c>
      <c r="C24" s="2">
        <f t="shared" si="2"/>
        <v>75.9</v>
      </c>
      <c r="D24" s="2">
        <f t="shared" si="2"/>
        <v>75.79</v>
      </c>
      <c r="E24" s="2">
        <f t="shared" si="2"/>
        <v>75.57</v>
      </c>
      <c r="F24" s="2">
        <f t="shared" si="2"/>
        <v>75.57</v>
      </c>
      <c r="G24" s="2">
        <f t="shared" si="2"/>
        <v>75.02</v>
      </c>
      <c r="H24" s="2">
        <f t="shared" si="2"/>
        <v>74.91</v>
      </c>
      <c r="I24" s="2">
        <f t="shared" si="2"/>
        <v>74.8</v>
      </c>
      <c r="J24" s="2">
        <f t="shared" si="2"/>
        <v>75.24</v>
      </c>
      <c r="K24" s="2">
        <f t="shared" si="2"/>
        <v>75.68</v>
      </c>
      <c r="L24" s="2">
        <f t="shared" si="2"/>
        <v>76.12</v>
      </c>
      <c r="M24" s="2">
        <f t="shared" si="2"/>
        <v>75.46</v>
      </c>
      <c r="N24" s="2">
        <f t="shared" si="2"/>
        <v>76.01</v>
      </c>
      <c r="O24" s="2">
        <f t="shared" si="2"/>
        <v>75.57</v>
      </c>
      <c r="P24" s="2">
        <f t="shared" si="2"/>
        <v>75.24</v>
      </c>
      <c r="Q24" s="2">
        <f t="shared" si="2"/>
        <v>74.69</v>
      </c>
      <c r="R24" s="2">
        <f t="shared" si="2"/>
        <v>74.91</v>
      </c>
      <c r="S24" s="2">
        <f t="shared" si="2"/>
        <v>74.47</v>
      </c>
      <c r="T24" s="2">
        <f t="shared" si="2"/>
        <v>75.35</v>
      </c>
      <c r="U24" s="2">
        <f t="shared" si="2"/>
        <v>73.81</v>
      </c>
      <c r="V24" s="2">
        <f t="shared" si="2"/>
        <v>74.36</v>
      </c>
      <c r="W24" s="2">
        <f t="shared" si="2"/>
        <v>72.93</v>
      </c>
      <c r="X24" s="2">
        <f t="shared" si="2"/>
        <v>72.93</v>
      </c>
      <c r="Y24" s="2">
        <f t="shared" si="2"/>
        <v>72.71</v>
      </c>
      <c r="Z24" s="2">
        <f t="shared" si="2"/>
        <v>72.05</v>
      </c>
      <c r="AA24" s="2">
        <f t="shared" si="2"/>
        <v>72.6</v>
      </c>
      <c r="AB24" s="2">
        <f t="shared" si="2"/>
        <v>72.05</v>
      </c>
      <c r="AC24" s="2">
        <f t="shared" si="2"/>
        <v>72.38</v>
      </c>
      <c r="AD24" s="2">
        <f t="shared" si="2"/>
        <v>70.95</v>
      </c>
      <c r="AE24" s="2">
        <f t="shared" si="2"/>
        <v>71.83</v>
      </c>
      <c r="AF24" s="2">
        <f t="shared" si="2"/>
        <v>71.06</v>
      </c>
      <c r="AG24" s="2">
        <f t="shared" si="2"/>
        <v>71.06</v>
      </c>
      <c r="AH24" s="2">
        <f t="shared" si="2"/>
        <v>71.17</v>
      </c>
      <c r="AI24" s="2">
        <f t="shared" si="2"/>
        <v>71.5</v>
      </c>
      <c r="AJ24" s="2">
        <f t="shared" si="2"/>
        <v>71.61</v>
      </c>
      <c r="AK24" s="2">
        <f t="shared" si="2"/>
        <v>72.16</v>
      </c>
      <c r="AL24" s="2">
        <f t="shared" si="2"/>
        <v>72.49</v>
      </c>
      <c r="AM24" s="2">
        <f t="shared" si="2"/>
        <v>72.27</v>
      </c>
      <c r="AN24" s="2">
        <f t="shared" si="2"/>
        <v>71.28</v>
      </c>
      <c r="AO24" s="2">
        <f t="shared" si="2"/>
        <v>70.51</v>
      </c>
      <c r="AP24" s="2">
        <f t="shared" si="2"/>
        <v>71.17</v>
      </c>
      <c r="AQ24" s="2">
        <f t="shared" si="2"/>
        <v>70.95</v>
      </c>
      <c r="AR24" s="2">
        <f t="shared" si="2"/>
        <v>70.73</v>
      </c>
    </row>
    <row r="25" ht="12.75" customHeight="1">
      <c r="A25" s="41" t="s">
        <v>25</v>
      </c>
      <c r="B25" s="2">
        <f t="shared" ref="B25:AR25" si="3">B23*1.05</f>
        <v>72.975</v>
      </c>
      <c r="C25" s="2">
        <f t="shared" si="3"/>
        <v>72.45</v>
      </c>
      <c r="D25" s="2">
        <f t="shared" si="3"/>
        <v>72.345</v>
      </c>
      <c r="E25" s="2">
        <f t="shared" si="3"/>
        <v>72.135</v>
      </c>
      <c r="F25" s="2">
        <f t="shared" si="3"/>
        <v>72.135</v>
      </c>
      <c r="G25" s="2">
        <f t="shared" si="3"/>
        <v>71.61</v>
      </c>
      <c r="H25" s="2">
        <f t="shared" si="3"/>
        <v>71.505</v>
      </c>
      <c r="I25" s="2">
        <f t="shared" si="3"/>
        <v>71.4</v>
      </c>
      <c r="J25" s="2">
        <f t="shared" si="3"/>
        <v>71.82</v>
      </c>
      <c r="K25" s="2">
        <f t="shared" si="3"/>
        <v>72.24</v>
      </c>
      <c r="L25" s="2">
        <f t="shared" si="3"/>
        <v>72.66</v>
      </c>
      <c r="M25" s="2">
        <f t="shared" si="3"/>
        <v>72.03</v>
      </c>
      <c r="N25" s="2">
        <f t="shared" si="3"/>
        <v>72.555</v>
      </c>
      <c r="O25" s="2">
        <f t="shared" si="3"/>
        <v>72.135</v>
      </c>
      <c r="P25" s="2">
        <f t="shared" si="3"/>
        <v>71.82</v>
      </c>
      <c r="Q25" s="2">
        <f t="shared" si="3"/>
        <v>71.295</v>
      </c>
      <c r="R25" s="2">
        <f t="shared" si="3"/>
        <v>71.505</v>
      </c>
      <c r="S25" s="2">
        <f t="shared" si="3"/>
        <v>71.085</v>
      </c>
      <c r="T25" s="2">
        <f t="shared" si="3"/>
        <v>71.925</v>
      </c>
      <c r="U25" s="2">
        <f t="shared" si="3"/>
        <v>70.455</v>
      </c>
      <c r="V25" s="2">
        <f t="shared" si="3"/>
        <v>70.98</v>
      </c>
      <c r="W25" s="2">
        <f t="shared" si="3"/>
        <v>69.615</v>
      </c>
      <c r="X25" s="2">
        <f t="shared" si="3"/>
        <v>69.615</v>
      </c>
      <c r="Y25" s="2">
        <f t="shared" si="3"/>
        <v>69.405</v>
      </c>
      <c r="Z25" s="2">
        <f t="shared" si="3"/>
        <v>68.775</v>
      </c>
      <c r="AA25" s="2">
        <f t="shared" si="3"/>
        <v>69.3</v>
      </c>
      <c r="AB25" s="2">
        <f t="shared" si="3"/>
        <v>68.775</v>
      </c>
      <c r="AC25" s="2">
        <f t="shared" si="3"/>
        <v>69.09</v>
      </c>
      <c r="AD25" s="2">
        <f t="shared" si="3"/>
        <v>67.725</v>
      </c>
      <c r="AE25" s="2">
        <f t="shared" si="3"/>
        <v>68.565</v>
      </c>
      <c r="AF25" s="2">
        <f t="shared" si="3"/>
        <v>67.83</v>
      </c>
      <c r="AG25" s="2">
        <f t="shared" si="3"/>
        <v>67.83</v>
      </c>
      <c r="AH25" s="2">
        <f t="shared" si="3"/>
        <v>67.935</v>
      </c>
      <c r="AI25" s="2">
        <f t="shared" si="3"/>
        <v>68.25</v>
      </c>
      <c r="AJ25" s="2">
        <f t="shared" si="3"/>
        <v>68.355</v>
      </c>
      <c r="AK25" s="2">
        <f t="shared" si="3"/>
        <v>68.88</v>
      </c>
      <c r="AL25" s="2">
        <f t="shared" si="3"/>
        <v>69.195</v>
      </c>
      <c r="AM25" s="2">
        <f t="shared" si="3"/>
        <v>68.985</v>
      </c>
      <c r="AN25" s="2">
        <f t="shared" si="3"/>
        <v>68.04</v>
      </c>
      <c r="AO25" s="2">
        <f t="shared" si="3"/>
        <v>67.305</v>
      </c>
      <c r="AP25" s="2">
        <f t="shared" si="3"/>
        <v>67.935</v>
      </c>
      <c r="AQ25" s="2">
        <f t="shared" si="3"/>
        <v>67.725</v>
      </c>
      <c r="AR25" s="2">
        <f t="shared" si="3"/>
        <v>67.515</v>
      </c>
    </row>
    <row r="26" ht="12.75" customHeight="1">
      <c r="B26" s="2"/>
      <c r="C26" s="2"/>
      <c r="D26" s="2"/>
      <c r="E26" s="2"/>
      <c r="F26" s="2"/>
      <c r="G26" s="2"/>
      <c r="H26" s="2"/>
    </row>
    <row r="27" ht="12.75" customHeight="1">
      <c r="B27" s="2"/>
      <c r="C27" s="2"/>
      <c r="D27" s="2"/>
      <c r="E27" s="2"/>
      <c r="F27" s="2"/>
      <c r="G27" s="2"/>
      <c r="H27" s="2"/>
    </row>
    <row r="28" ht="12.75" customHeight="1">
      <c r="B28" s="2"/>
      <c r="C28" s="2"/>
      <c r="D28" s="2"/>
      <c r="E28" s="2"/>
      <c r="F28" s="2"/>
      <c r="G28" s="2"/>
      <c r="H28" s="2"/>
    </row>
    <row r="29" ht="12.75" customHeight="1">
      <c r="B29" s="2"/>
      <c r="C29" s="2"/>
      <c r="D29" s="2"/>
      <c r="E29" s="2"/>
      <c r="F29" s="2"/>
      <c r="G29" s="2"/>
      <c r="H29" s="2"/>
    </row>
    <row r="30" ht="12.75" customHeight="1">
      <c r="D30" s="2"/>
      <c r="E30" s="2"/>
      <c r="F30" s="2"/>
      <c r="G30" s="2"/>
      <c r="H30" s="2"/>
      <c r="V30" s="42" t="s">
        <v>26</v>
      </c>
      <c r="W30" s="18"/>
      <c r="X30" s="43">
        <v>50.0</v>
      </c>
      <c r="Z30" s="15" t="s">
        <v>27</v>
      </c>
      <c r="AF30" s="15" t="s">
        <v>28</v>
      </c>
      <c r="AI30" s="15" t="s">
        <v>29</v>
      </c>
      <c r="AK30" s="15" t="s">
        <v>30</v>
      </c>
    </row>
    <row r="31" ht="12.75" customHeight="1">
      <c r="D31" s="2"/>
      <c r="E31" s="2"/>
      <c r="F31" s="2"/>
      <c r="G31" s="2"/>
      <c r="H31" s="2"/>
      <c r="V31" s="42" t="s">
        <v>31</v>
      </c>
      <c r="W31" s="18"/>
      <c r="X31" s="43">
        <v>15.0</v>
      </c>
      <c r="Z31" s="15" t="s">
        <v>32</v>
      </c>
      <c r="AF31" s="15" t="s">
        <v>33</v>
      </c>
      <c r="AI31" s="15" t="s">
        <v>34</v>
      </c>
      <c r="AK31" s="15" t="s">
        <v>35</v>
      </c>
    </row>
    <row r="32" ht="12.75" customHeight="1">
      <c r="D32" s="2"/>
      <c r="E32" s="2"/>
      <c r="F32" s="2"/>
      <c r="G32" s="2"/>
      <c r="H32" s="2"/>
      <c r="V32" s="42" t="s">
        <v>36</v>
      </c>
      <c r="W32" s="18"/>
      <c r="X32" s="43">
        <f>ROUND(IF($X$31&lt;10,AVERAGE($X$30/(1.0278-0.0278*$X$31),$X$30*$X$31^0.1),AVERAGE($X$30*(1+0.0333*$X$31),$X$30*$X$31^0.1)),1)</f>
        <v>70.3</v>
      </c>
    </row>
    <row r="33" ht="12.75" customHeight="1">
      <c r="B33" s="2"/>
      <c r="C33" s="2"/>
      <c r="D33" s="2"/>
      <c r="E33" s="2"/>
      <c r="F33" s="2"/>
      <c r="G33" s="2"/>
      <c r="H33" s="2"/>
    </row>
    <row r="34" ht="12.75" customHeight="1">
      <c r="B34" s="2"/>
      <c r="C34" s="2"/>
      <c r="D34" s="2"/>
      <c r="E34" s="2"/>
      <c r="F34" s="2"/>
      <c r="G34" s="2"/>
      <c r="H34" s="2"/>
      <c r="V34" s="44">
        <f>IF($X$31&lt;10,$X$30/(1.0278-0.0278*$X$31),$X$30*(1+0.0333*$X$31))</f>
        <v>74.975</v>
      </c>
    </row>
    <row r="35" ht="12.75" customHeight="1">
      <c r="B35" s="2"/>
      <c r="C35" s="2"/>
      <c r="D35" s="2"/>
      <c r="E35" s="2"/>
      <c r="F35" s="2"/>
      <c r="G35" s="2"/>
      <c r="H35" s="2"/>
    </row>
    <row r="36" ht="12.75" customHeight="1">
      <c r="B36" s="2"/>
      <c r="C36" s="2"/>
      <c r="D36" s="2"/>
      <c r="E36" s="2"/>
      <c r="F36" s="2"/>
      <c r="G36" s="2"/>
      <c r="H36" s="2"/>
      <c r="V36" s="44">
        <f>$X$30*$X$31^0.1</f>
        <v>65.55097115</v>
      </c>
    </row>
    <row r="37" ht="12.75" customHeight="1">
      <c r="B37" s="2"/>
      <c r="C37" s="2"/>
      <c r="D37" s="2"/>
      <c r="E37" s="2"/>
      <c r="F37" s="2"/>
      <c r="G37" s="2"/>
      <c r="H37" s="2"/>
    </row>
    <row r="38" ht="12.75" customHeight="1">
      <c r="B38" s="2"/>
      <c r="C38" s="2"/>
      <c r="D38" s="2"/>
      <c r="E38" s="2"/>
      <c r="F38" s="2"/>
      <c r="G38" s="2"/>
      <c r="H38" s="2"/>
    </row>
    <row r="39" ht="12.75" customHeight="1">
      <c r="B39" s="2"/>
      <c r="C39" s="2"/>
      <c r="D39" s="2"/>
      <c r="E39" s="2"/>
      <c r="F39" s="2"/>
      <c r="G39" s="2"/>
      <c r="H39" s="2"/>
    </row>
    <row r="40" ht="12.75" customHeight="1">
      <c r="B40" s="2"/>
      <c r="C40" s="2"/>
      <c r="D40" s="2"/>
      <c r="E40" s="2"/>
      <c r="F40" s="2"/>
      <c r="G40" s="2"/>
      <c r="H40" s="2"/>
    </row>
    <row r="41" ht="12.75" customHeight="1">
      <c r="B41" s="2"/>
      <c r="C41" s="2"/>
      <c r="D41" s="2"/>
      <c r="E41" s="2"/>
      <c r="F41" s="2"/>
      <c r="G41" s="2"/>
      <c r="H41" s="2"/>
    </row>
    <row r="42" ht="12.75" customHeight="1">
      <c r="B42" s="2"/>
      <c r="C42" s="2"/>
      <c r="D42" s="2"/>
      <c r="E42" s="2"/>
      <c r="F42" s="2"/>
      <c r="G42" s="2"/>
      <c r="H42" s="2"/>
    </row>
    <row r="43" ht="12.75" customHeight="1">
      <c r="B43" s="2"/>
      <c r="C43" s="2"/>
      <c r="D43" s="2"/>
      <c r="E43" s="2"/>
      <c r="F43" s="2"/>
      <c r="G43" s="2"/>
      <c r="H43" s="2"/>
    </row>
    <row r="44" ht="12.75" customHeight="1">
      <c r="B44" s="2"/>
      <c r="C44" s="2"/>
      <c r="D44" s="2"/>
      <c r="E44" s="2"/>
      <c r="F44" s="2"/>
      <c r="G44" s="2"/>
      <c r="H44" s="2"/>
    </row>
    <row r="45" ht="12.75" customHeight="1">
      <c r="B45" s="2"/>
      <c r="C45" s="2"/>
      <c r="D45" s="2"/>
      <c r="E45" s="2"/>
      <c r="F45" s="2"/>
      <c r="G45" s="2"/>
      <c r="H45" s="2"/>
    </row>
    <row r="46" ht="12.75" customHeight="1">
      <c r="B46" s="2"/>
      <c r="C46" s="2"/>
      <c r="D46" s="2"/>
      <c r="E46" s="2"/>
      <c r="F46" s="2"/>
      <c r="G46" s="2"/>
      <c r="H46" s="2"/>
    </row>
    <row r="47" ht="12.75" customHeight="1">
      <c r="B47" s="2"/>
      <c r="C47" s="2"/>
      <c r="D47" s="2"/>
      <c r="E47" s="2"/>
      <c r="F47" s="2"/>
      <c r="G47" s="2"/>
      <c r="H47" s="2"/>
      <c r="AK47" s="15" t="s">
        <v>26</v>
      </c>
      <c r="AL47" s="43">
        <v>64.5</v>
      </c>
    </row>
    <row r="48" ht="12.75" customHeight="1">
      <c r="B48" s="2"/>
      <c r="C48" s="2"/>
      <c r="D48" s="2"/>
      <c r="E48" s="2"/>
      <c r="F48" s="2"/>
      <c r="G48" s="2"/>
      <c r="H48" s="2"/>
      <c r="AK48" s="15" t="s">
        <v>37</v>
      </c>
      <c r="AL48" s="43">
        <v>3.0</v>
      </c>
    </row>
    <row r="49" ht="12.75" customHeight="1">
      <c r="B49" s="2"/>
      <c r="C49" s="2"/>
      <c r="D49" s="2"/>
      <c r="E49" s="2"/>
      <c r="F49" s="2"/>
      <c r="G49" s="2"/>
      <c r="H49" s="2"/>
      <c r="AK49" s="15" t="s">
        <v>36</v>
      </c>
      <c r="AL49" s="43">
        <f>ROUND(IF(AL48&lt;10,AVERAGE(AL47/(1.0278-0.0278*AL48),AL47*AL48^0.1),AVERAGE(AL47*(1+0.0333*AL48),AL47*AL48^0.1)),1)</f>
        <v>70.1</v>
      </c>
    </row>
    <row r="50" ht="12.75" customHeight="1">
      <c r="B50" s="2"/>
      <c r="C50" s="2"/>
      <c r="D50" s="2"/>
      <c r="E50" s="2"/>
      <c r="F50" s="2"/>
      <c r="G50" s="2"/>
      <c r="H50" s="2"/>
    </row>
    <row r="51" ht="12.75" customHeight="1">
      <c r="B51" s="2"/>
      <c r="C51" s="2"/>
      <c r="D51" s="2"/>
      <c r="E51" s="2"/>
      <c r="F51" s="2"/>
      <c r="G51" s="2"/>
      <c r="H51" s="2"/>
    </row>
    <row r="52" ht="12.75" customHeight="1">
      <c r="A52" s="4"/>
      <c r="B52" s="5">
        <f t="shared" ref="B52:AH52" si="4">B16</f>
        <v>45304</v>
      </c>
      <c r="C52" s="5">
        <f t="shared" si="4"/>
        <v>45310</v>
      </c>
      <c r="D52" s="5">
        <f t="shared" si="4"/>
        <v>45317</v>
      </c>
      <c r="E52" s="5">
        <f t="shared" si="4"/>
        <v>45324</v>
      </c>
      <c r="F52" s="5">
        <f t="shared" si="4"/>
        <v>45331</v>
      </c>
      <c r="G52" s="5">
        <f t="shared" si="4"/>
        <v>45338</v>
      </c>
      <c r="H52" s="5">
        <f t="shared" si="4"/>
        <v>45345</v>
      </c>
      <c r="I52" s="5">
        <f t="shared" si="4"/>
        <v>45359</v>
      </c>
      <c r="J52" s="5">
        <f t="shared" si="4"/>
        <v>45365</v>
      </c>
      <c r="K52" s="5">
        <f t="shared" si="4"/>
        <v>45373</v>
      </c>
      <c r="L52" s="5">
        <f t="shared" si="4"/>
        <v>45380</v>
      </c>
      <c r="M52" s="5">
        <f t="shared" si="4"/>
        <v>45387</v>
      </c>
      <c r="N52" s="5">
        <f t="shared" si="4"/>
        <v>45394</v>
      </c>
      <c r="O52" s="5">
        <f t="shared" si="4"/>
        <v>45401</v>
      </c>
      <c r="P52" s="5">
        <f t="shared" si="4"/>
        <v>45408</v>
      </c>
      <c r="Q52" s="5">
        <f t="shared" si="4"/>
        <v>45415</v>
      </c>
      <c r="R52" s="5">
        <f t="shared" si="4"/>
        <v>45422</v>
      </c>
      <c r="S52" s="5">
        <f t="shared" si="4"/>
        <v>45429</v>
      </c>
      <c r="T52" s="5">
        <f t="shared" si="4"/>
        <v>45436</v>
      </c>
      <c r="U52" s="5">
        <f t="shared" si="4"/>
        <v>45443</v>
      </c>
      <c r="V52" s="5">
        <f t="shared" si="4"/>
        <v>45450</v>
      </c>
      <c r="W52" s="5">
        <f t="shared" si="4"/>
        <v>45457</v>
      </c>
      <c r="X52" s="5">
        <f t="shared" si="4"/>
        <v>45464</v>
      </c>
      <c r="Y52" s="5">
        <f t="shared" si="4"/>
        <v>45471</v>
      </c>
      <c r="Z52" s="5">
        <f t="shared" si="4"/>
        <v>45478</v>
      </c>
      <c r="AA52" s="5">
        <f t="shared" si="4"/>
        <v>45485</v>
      </c>
      <c r="AB52" s="5">
        <f t="shared" si="4"/>
        <v>45492</v>
      </c>
      <c r="AC52" s="5">
        <f t="shared" si="4"/>
        <v>45499</v>
      </c>
      <c r="AD52" s="5">
        <f t="shared" si="4"/>
        <v>45506</v>
      </c>
      <c r="AE52" s="5">
        <f t="shared" si="4"/>
        <v>45513</v>
      </c>
      <c r="AF52" s="5">
        <f t="shared" si="4"/>
        <v>45520</v>
      </c>
      <c r="AG52" s="5">
        <f t="shared" si="4"/>
        <v>45527</v>
      </c>
      <c r="AH52" s="5">
        <f t="shared" si="4"/>
        <v>45534</v>
      </c>
      <c r="AI52" s="5">
        <v>45541.0</v>
      </c>
      <c r="AJ52" s="5">
        <v>45548.0</v>
      </c>
      <c r="AK52" s="4">
        <v>45553.0</v>
      </c>
      <c r="AL52" s="4">
        <v>45555.0</v>
      </c>
      <c r="AM52" s="4">
        <v>45562.0</v>
      </c>
      <c r="AN52" s="4">
        <v>45569.0</v>
      </c>
      <c r="AO52" s="4">
        <v>45576.0</v>
      </c>
      <c r="AP52" s="4">
        <v>45583.0</v>
      </c>
      <c r="AQ52" s="4">
        <v>45590.0</v>
      </c>
      <c r="AR52" s="4">
        <v>45598.0</v>
      </c>
    </row>
    <row r="53" ht="12.75" customHeight="1">
      <c r="A53" s="45" t="s">
        <v>18</v>
      </c>
      <c r="B53" s="46" t="str">
        <f t="shared" ref="B53:AR53" si="5">IF(B17&gt;0,B17/B$23,"")</f>
        <v/>
      </c>
      <c r="C53" s="46" t="str">
        <f t="shared" si="5"/>
        <v/>
      </c>
      <c r="D53" s="46" t="str">
        <f t="shared" si="5"/>
        <v/>
      </c>
      <c r="E53" s="46" t="str">
        <f t="shared" si="5"/>
        <v/>
      </c>
      <c r="F53" s="46" t="str">
        <f t="shared" si="5"/>
        <v/>
      </c>
      <c r="G53" s="46" t="str">
        <f t="shared" si="5"/>
        <v/>
      </c>
      <c r="H53" s="46" t="str">
        <f t="shared" si="5"/>
        <v/>
      </c>
      <c r="I53" s="46" t="str">
        <f t="shared" si="5"/>
        <v/>
      </c>
      <c r="J53" s="47">
        <f t="shared" si="5"/>
        <v>0.9576023392</v>
      </c>
      <c r="K53" s="46" t="str">
        <f t="shared" si="5"/>
        <v/>
      </c>
      <c r="L53" s="46" t="str">
        <f t="shared" si="5"/>
        <v/>
      </c>
      <c r="M53" s="46" t="str">
        <f t="shared" si="5"/>
        <v/>
      </c>
      <c r="N53" s="46" t="str">
        <f t="shared" si="5"/>
        <v/>
      </c>
      <c r="O53" s="46" t="str">
        <f t="shared" si="5"/>
        <v/>
      </c>
      <c r="P53" s="46" t="str">
        <f t="shared" si="5"/>
        <v/>
      </c>
      <c r="Q53" s="46" t="str">
        <f t="shared" si="5"/>
        <v/>
      </c>
      <c r="R53" s="46" t="str">
        <f t="shared" si="5"/>
        <v/>
      </c>
      <c r="S53" s="46" t="str">
        <f t="shared" si="5"/>
        <v/>
      </c>
      <c r="T53" s="46" t="str">
        <f t="shared" si="5"/>
        <v/>
      </c>
      <c r="U53" s="47">
        <f t="shared" si="5"/>
        <v>1.043219076</v>
      </c>
      <c r="V53" s="46" t="str">
        <f t="shared" si="5"/>
        <v/>
      </c>
      <c r="W53" s="46" t="str">
        <f t="shared" si="5"/>
        <v/>
      </c>
      <c r="X53" s="46" t="str">
        <f t="shared" si="5"/>
        <v/>
      </c>
      <c r="Y53" s="46" t="str">
        <f t="shared" si="5"/>
        <v/>
      </c>
      <c r="Z53" s="46" t="str">
        <f t="shared" si="5"/>
        <v/>
      </c>
      <c r="AA53" s="46" t="str">
        <f t="shared" si="5"/>
        <v/>
      </c>
      <c r="AB53" s="46" t="str">
        <f t="shared" si="5"/>
        <v/>
      </c>
      <c r="AC53" s="46">
        <f t="shared" si="5"/>
        <v>1.003039514</v>
      </c>
      <c r="AD53" s="46" t="str">
        <f t="shared" si="5"/>
        <v/>
      </c>
      <c r="AE53" s="46" t="str">
        <f t="shared" si="5"/>
        <v/>
      </c>
      <c r="AF53" s="46">
        <f t="shared" si="5"/>
        <v>1.021671827</v>
      </c>
      <c r="AG53" s="46">
        <f t="shared" si="5"/>
        <v>1.021671827</v>
      </c>
      <c r="AH53" s="46">
        <f t="shared" si="5"/>
        <v>1.027820711</v>
      </c>
      <c r="AI53" s="46">
        <f t="shared" si="5"/>
        <v>1.030769231</v>
      </c>
      <c r="AJ53" s="46">
        <f t="shared" si="5"/>
        <v>1.052227343</v>
      </c>
      <c r="AK53" s="47">
        <f t="shared" si="5"/>
        <v>1.051829268</v>
      </c>
      <c r="AL53" s="46" t="str">
        <f t="shared" si="5"/>
        <v/>
      </c>
      <c r="AM53" s="46">
        <f t="shared" si="5"/>
        <v>1.00456621</v>
      </c>
      <c r="AN53" s="46">
        <f t="shared" si="5"/>
        <v>1.018518519</v>
      </c>
      <c r="AO53" s="46">
        <f t="shared" si="5"/>
        <v>1.029641186</v>
      </c>
      <c r="AP53" s="46">
        <f t="shared" si="5"/>
        <v>1.020092736</v>
      </c>
      <c r="AQ53" s="47">
        <f t="shared" si="5"/>
        <v>1.054263566</v>
      </c>
      <c r="AR53" s="47">
        <f t="shared" si="5"/>
        <v>1.096423017</v>
      </c>
    </row>
    <row r="54" ht="12.75" customHeight="1">
      <c r="A54" s="45" t="s">
        <v>19</v>
      </c>
      <c r="B54" s="46">
        <f t="shared" ref="B54:AR54" si="6">IF(B18&gt;0,B18/B$23,"")</f>
        <v>0.9496402878</v>
      </c>
      <c r="C54" s="46">
        <f t="shared" si="6"/>
        <v>0.9565217391</v>
      </c>
      <c r="D54" s="46">
        <f t="shared" si="6"/>
        <v>0.9579100145</v>
      </c>
      <c r="E54" s="46">
        <f t="shared" si="6"/>
        <v>0.9781659389</v>
      </c>
      <c r="F54" s="46">
        <f t="shared" si="6"/>
        <v>0.9708879185</v>
      </c>
      <c r="G54" s="46">
        <f t="shared" si="6"/>
        <v>1.002932551</v>
      </c>
      <c r="H54" s="46">
        <f t="shared" si="6"/>
        <v>0.9955947137</v>
      </c>
      <c r="I54" s="46">
        <f t="shared" si="6"/>
        <v>1.023529412</v>
      </c>
      <c r="J54" s="46">
        <f t="shared" si="6"/>
        <v>1.001461988</v>
      </c>
      <c r="K54" s="46">
        <f t="shared" si="6"/>
        <v>0.9854651163</v>
      </c>
      <c r="L54" s="46">
        <f t="shared" si="6"/>
        <v>1.005780347</v>
      </c>
      <c r="M54" s="46">
        <f t="shared" si="6"/>
        <v>1.011661808</v>
      </c>
      <c r="N54" s="46">
        <f t="shared" si="6"/>
        <v>0.998552822</v>
      </c>
      <c r="O54" s="46" t="str">
        <f t="shared" si="6"/>
        <v/>
      </c>
      <c r="P54" s="46" t="str">
        <f t="shared" si="6"/>
        <v/>
      </c>
      <c r="Q54" s="46" t="str">
        <f t="shared" si="6"/>
        <v/>
      </c>
      <c r="R54" s="46" t="str">
        <f t="shared" si="6"/>
        <v/>
      </c>
      <c r="S54" s="46">
        <f t="shared" si="6"/>
        <v>1.025110783</v>
      </c>
      <c r="T54" s="46">
        <f t="shared" si="6"/>
        <v>1.02189781</v>
      </c>
      <c r="U54" s="46" t="str">
        <f t="shared" si="6"/>
        <v/>
      </c>
      <c r="V54" s="46">
        <f t="shared" si="6"/>
        <v>1.026627219</v>
      </c>
      <c r="W54" s="46">
        <f t="shared" si="6"/>
        <v>1.046757164</v>
      </c>
      <c r="X54" s="46">
        <f t="shared" si="6"/>
        <v>1.031674208</v>
      </c>
      <c r="Y54" s="46">
        <f t="shared" si="6"/>
        <v>1.04387292</v>
      </c>
      <c r="Z54" s="46" t="str">
        <f t="shared" si="6"/>
        <v/>
      </c>
      <c r="AA54" s="46" t="str">
        <f t="shared" si="6"/>
        <v/>
      </c>
      <c r="AB54" s="46" t="str">
        <f t="shared" si="6"/>
        <v/>
      </c>
      <c r="AC54" s="46" t="str">
        <f t="shared" si="6"/>
        <v/>
      </c>
      <c r="AD54" s="46">
        <f t="shared" si="6"/>
        <v>1.058914729</v>
      </c>
      <c r="AE54" s="46">
        <f t="shared" si="6"/>
        <v>1.045941807</v>
      </c>
      <c r="AF54" s="46">
        <f t="shared" si="6"/>
        <v>1.066563467</v>
      </c>
      <c r="AG54" s="46">
        <f t="shared" si="6"/>
        <v>1.074303406</v>
      </c>
      <c r="AH54" s="46">
        <f t="shared" si="6"/>
        <v>1.081916538</v>
      </c>
      <c r="AI54" s="46">
        <f t="shared" si="6"/>
        <v>1.086153846</v>
      </c>
      <c r="AJ54" s="46" t="str">
        <f t="shared" si="6"/>
        <v/>
      </c>
      <c r="AK54" s="46" t="str">
        <f t="shared" si="6"/>
        <v/>
      </c>
      <c r="AL54" s="46">
        <f t="shared" si="6"/>
        <v>1.031866464</v>
      </c>
      <c r="AM54" s="46">
        <f t="shared" si="6"/>
        <v>1.04261796</v>
      </c>
      <c r="AN54" s="46">
        <f t="shared" si="6"/>
        <v>1.066358025</v>
      </c>
      <c r="AO54" s="46">
        <f t="shared" si="6"/>
        <v>1.085803432</v>
      </c>
      <c r="AP54" s="46">
        <f t="shared" si="6"/>
        <v>1.083462133</v>
      </c>
      <c r="AQ54" s="46" t="str">
        <f t="shared" si="6"/>
        <v/>
      </c>
      <c r="AR54" s="46" t="str">
        <f t="shared" si="6"/>
        <v/>
      </c>
    </row>
    <row r="55" ht="12.75" customHeight="1">
      <c r="A55" s="45" t="s">
        <v>20</v>
      </c>
      <c r="B55" s="46">
        <f t="shared" ref="B55:AR55" si="7">IF(B19&gt;0,B19/B$23,"")</f>
        <v>0.9251798561</v>
      </c>
      <c r="C55" s="46">
        <f t="shared" si="7"/>
        <v>0.931884058</v>
      </c>
      <c r="D55" s="46">
        <f t="shared" si="7"/>
        <v>0.9782293179</v>
      </c>
      <c r="E55" s="46">
        <f t="shared" si="7"/>
        <v>1</v>
      </c>
      <c r="F55" s="46">
        <f t="shared" si="7"/>
        <v>0.9723435226</v>
      </c>
      <c r="G55" s="46">
        <f t="shared" si="7"/>
        <v>1.026392962</v>
      </c>
      <c r="H55" s="46">
        <f t="shared" si="7"/>
        <v>1.046989721</v>
      </c>
      <c r="I55" s="46">
        <f t="shared" si="7"/>
        <v>1.023529412</v>
      </c>
      <c r="J55" s="46" t="str">
        <f t="shared" si="7"/>
        <v/>
      </c>
      <c r="K55" s="46">
        <f t="shared" si="7"/>
        <v>1.011627907</v>
      </c>
      <c r="L55" s="46">
        <f t="shared" si="7"/>
        <v>1.030346821</v>
      </c>
      <c r="M55" s="46">
        <f t="shared" si="7"/>
        <v>1.033527697</v>
      </c>
      <c r="N55" s="46">
        <f t="shared" si="7"/>
        <v>1.026049204</v>
      </c>
      <c r="O55" s="46" t="str">
        <f t="shared" si="7"/>
        <v/>
      </c>
      <c r="P55" s="46" t="str">
        <f t="shared" si="7"/>
        <v/>
      </c>
      <c r="Q55" s="46" t="str">
        <f t="shared" si="7"/>
        <v/>
      </c>
      <c r="R55" s="46" t="str">
        <f t="shared" si="7"/>
        <v/>
      </c>
      <c r="S55" s="46">
        <f t="shared" si="7"/>
        <v>1.004431315</v>
      </c>
      <c r="T55" s="46">
        <f t="shared" si="7"/>
        <v>1.040875912</v>
      </c>
      <c r="U55" s="46" t="str">
        <f t="shared" si="7"/>
        <v/>
      </c>
      <c r="V55" s="46">
        <f t="shared" si="7"/>
        <v>1.054733728</v>
      </c>
      <c r="W55" s="46">
        <f t="shared" si="7"/>
        <v>1.075414781</v>
      </c>
      <c r="X55" s="46">
        <f t="shared" si="7"/>
        <v>1.025641026</v>
      </c>
      <c r="Y55" s="46">
        <f t="shared" si="7"/>
        <v>1.028744327</v>
      </c>
      <c r="Z55" s="46" t="str">
        <f t="shared" si="7"/>
        <v/>
      </c>
      <c r="AA55" s="46" t="str">
        <f t="shared" si="7"/>
        <v/>
      </c>
      <c r="AB55" s="46" t="str">
        <f t="shared" si="7"/>
        <v/>
      </c>
      <c r="AC55" s="46" t="str">
        <f t="shared" si="7"/>
        <v/>
      </c>
      <c r="AD55" s="46">
        <f t="shared" si="7"/>
        <v>1.054263566</v>
      </c>
      <c r="AE55" s="46">
        <f t="shared" si="7"/>
        <v>1.041347626</v>
      </c>
      <c r="AF55" s="46">
        <f t="shared" si="7"/>
        <v>1.077399381</v>
      </c>
      <c r="AG55" s="46">
        <f t="shared" si="7"/>
        <v>1.077399381</v>
      </c>
      <c r="AH55" s="46">
        <f t="shared" si="7"/>
        <v>1.102009274</v>
      </c>
      <c r="AI55" s="46">
        <f t="shared" si="7"/>
        <v>1.096923077</v>
      </c>
      <c r="AJ55" s="46" t="str">
        <f t="shared" si="7"/>
        <v/>
      </c>
      <c r="AK55" s="46" t="str">
        <f t="shared" si="7"/>
        <v/>
      </c>
      <c r="AL55" s="46">
        <f t="shared" si="7"/>
        <v>1.056145675</v>
      </c>
      <c r="AM55" s="46">
        <f t="shared" si="7"/>
        <v>1.085235921</v>
      </c>
      <c r="AN55" s="46">
        <f t="shared" si="7"/>
        <v>1.100308642</v>
      </c>
      <c r="AO55" s="46">
        <f t="shared" si="7"/>
        <v>1.112324493</v>
      </c>
      <c r="AP55" s="46">
        <f t="shared" si="7"/>
        <v>1.102009274</v>
      </c>
      <c r="AQ55" s="46" t="str">
        <f t="shared" si="7"/>
        <v/>
      </c>
      <c r="AR55" s="46" t="str">
        <f t="shared" si="7"/>
        <v/>
      </c>
    </row>
    <row r="56" ht="12.75" customHeight="1">
      <c r="A56" s="45" t="s">
        <v>21</v>
      </c>
      <c r="B56" s="46" t="str">
        <f t="shared" ref="B56:AR56" si="8">IF(B20&gt;0,B20/B$23,"")</f>
        <v/>
      </c>
      <c r="C56" s="46">
        <f t="shared" si="8"/>
        <v>0.9623188406</v>
      </c>
      <c r="D56" s="46">
        <f t="shared" si="8"/>
        <v>0.9796806967</v>
      </c>
      <c r="E56" s="46">
        <f t="shared" si="8"/>
        <v>1.002911208</v>
      </c>
      <c r="F56" s="46">
        <f t="shared" si="8"/>
        <v>0.9912663755</v>
      </c>
      <c r="G56" s="46">
        <f t="shared" si="8"/>
        <v>1.014662757</v>
      </c>
      <c r="H56" s="46">
        <f t="shared" si="8"/>
        <v>1.020558003</v>
      </c>
      <c r="I56" s="46">
        <f t="shared" si="8"/>
        <v>1.022058824</v>
      </c>
      <c r="J56" s="46" t="str">
        <f t="shared" si="8"/>
        <v/>
      </c>
      <c r="K56" s="46">
        <f t="shared" si="8"/>
        <v>1.026162791</v>
      </c>
      <c r="L56" s="46">
        <f t="shared" si="8"/>
        <v>1.036127168</v>
      </c>
      <c r="M56" s="46">
        <f t="shared" si="8"/>
        <v>1.016034985</v>
      </c>
      <c r="N56" s="46">
        <f t="shared" si="8"/>
        <v>1.008683068</v>
      </c>
      <c r="O56" s="46" t="str">
        <f t="shared" si="8"/>
        <v/>
      </c>
      <c r="P56" s="46" t="str">
        <f t="shared" si="8"/>
        <v/>
      </c>
      <c r="Q56" s="46" t="str">
        <f t="shared" si="8"/>
        <v/>
      </c>
      <c r="R56" s="46" t="str">
        <f t="shared" si="8"/>
        <v/>
      </c>
      <c r="S56" s="46">
        <f t="shared" si="8"/>
        <v>0.9571639586</v>
      </c>
      <c r="T56" s="46">
        <f t="shared" si="8"/>
        <v>1.040875912</v>
      </c>
      <c r="U56" s="46" t="str">
        <f t="shared" si="8"/>
        <v/>
      </c>
      <c r="V56" s="46">
        <f t="shared" si="8"/>
        <v>1.023668639</v>
      </c>
      <c r="W56" s="46">
        <f t="shared" si="8"/>
        <v>0.9939668175</v>
      </c>
      <c r="X56" s="46">
        <f t="shared" si="8"/>
        <v>1.010558069</v>
      </c>
      <c r="Y56" s="46">
        <f t="shared" si="8"/>
        <v>1.013615734</v>
      </c>
      <c r="Z56" s="46" t="str">
        <f t="shared" si="8"/>
        <v/>
      </c>
      <c r="AA56" s="46" t="str">
        <f t="shared" si="8"/>
        <v/>
      </c>
      <c r="AB56" s="46" t="str">
        <f t="shared" si="8"/>
        <v/>
      </c>
      <c r="AC56" s="46" t="str">
        <f t="shared" si="8"/>
        <v/>
      </c>
      <c r="AD56" s="46">
        <f t="shared" si="8"/>
        <v>1.03875969</v>
      </c>
      <c r="AE56" s="46">
        <f t="shared" si="8"/>
        <v>1.04287902</v>
      </c>
      <c r="AF56" s="46">
        <f t="shared" si="8"/>
        <v>1.054179567</v>
      </c>
      <c r="AG56" s="46">
        <f t="shared" si="8"/>
        <v>1.07120743</v>
      </c>
      <c r="AH56" s="46">
        <f t="shared" si="8"/>
        <v>1.086553323</v>
      </c>
      <c r="AI56" s="46">
        <f t="shared" si="8"/>
        <v>1.081538462</v>
      </c>
      <c r="AJ56" s="46" t="str">
        <f t="shared" si="8"/>
        <v/>
      </c>
      <c r="AK56" s="46" t="str">
        <f t="shared" si="8"/>
        <v/>
      </c>
      <c r="AL56" s="46">
        <f t="shared" si="8"/>
        <v>1.050075873</v>
      </c>
      <c r="AM56" s="46">
        <f t="shared" si="8"/>
        <v>1.070015221</v>
      </c>
      <c r="AN56" s="46">
        <f t="shared" si="8"/>
        <v>1.084876543</v>
      </c>
      <c r="AO56" s="46">
        <f t="shared" si="8"/>
        <v>1.096723869</v>
      </c>
      <c r="AP56" s="46">
        <f t="shared" si="8"/>
        <v>1.086553323</v>
      </c>
      <c r="AQ56" s="46" t="str">
        <f t="shared" si="8"/>
        <v/>
      </c>
      <c r="AR56" s="46" t="str">
        <f t="shared" si="8"/>
        <v/>
      </c>
    </row>
    <row r="57" ht="12.75" customHeight="1">
      <c r="A57" s="45" t="s">
        <v>22</v>
      </c>
      <c r="B57" s="46" t="str">
        <f t="shared" ref="B57:AR57" si="9">IF(B21&gt;0,B21/B$23,"")</f>
        <v/>
      </c>
      <c r="C57" s="46" t="str">
        <f t="shared" si="9"/>
        <v/>
      </c>
      <c r="D57" s="46" t="str">
        <f t="shared" si="9"/>
        <v/>
      </c>
      <c r="E57" s="46" t="str">
        <f t="shared" si="9"/>
        <v/>
      </c>
      <c r="F57" s="46" t="str">
        <f t="shared" si="9"/>
        <v/>
      </c>
      <c r="G57" s="46" t="str">
        <f t="shared" si="9"/>
        <v/>
      </c>
      <c r="H57" s="46" t="str">
        <f t="shared" si="9"/>
        <v/>
      </c>
      <c r="I57" s="46" t="str">
        <f t="shared" si="9"/>
        <v/>
      </c>
      <c r="J57" s="46" t="str">
        <f t="shared" si="9"/>
        <v/>
      </c>
      <c r="K57" s="46" t="str">
        <f t="shared" si="9"/>
        <v/>
      </c>
      <c r="L57" s="46" t="str">
        <f t="shared" si="9"/>
        <v/>
      </c>
      <c r="M57" s="46" t="str">
        <f t="shared" si="9"/>
        <v/>
      </c>
      <c r="N57" s="46" t="str">
        <f t="shared" si="9"/>
        <v/>
      </c>
      <c r="O57" s="46">
        <f t="shared" si="9"/>
        <v>0.9184861718</v>
      </c>
      <c r="P57" s="46">
        <f t="shared" si="9"/>
        <v>0.9385964912</v>
      </c>
      <c r="Q57" s="46">
        <f t="shared" si="9"/>
        <v>0.9602356406</v>
      </c>
      <c r="R57" s="46">
        <f t="shared" si="9"/>
        <v>0.9735682819</v>
      </c>
      <c r="S57" s="46" t="str">
        <f t="shared" si="9"/>
        <v/>
      </c>
      <c r="T57" s="46" t="str">
        <f t="shared" si="9"/>
        <v/>
      </c>
      <c r="U57" s="46" t="str">
        <f t="shared" si="9"/>
        <v/>
      </c>
      <c r="V57" s="46" t="str">
        <f t="shared" si="9"/>
        <v/>
      </c>
      <c r="W57" s="46" t="str">
        <f t="shared" si="9"/>
        <v/>
      </c>
      <c r="X57" s="46" t="str">
        <f t="shared" si="9"/>
        <v/>
      </c>
      <c r="Y57" s="46" t="str">
        <f t="shared" si="9"/>
        <v/>
      </c>
      <c r="Z57" s="46">
        <f t="shared" si="9"/>
        <v>0.9801526718</v>
      </c>
      <c r="AA57" s="46">
        <f t="shared" si="9"/>
        <v>1.004545455</v>
      </c>
      <c r="AB57" s="46">
        <f t="shared" si="9"/>
        <v>1.021374046</v>
      </c>
      <c r="AC57" s="46">
        <f t="shared" si="9"/>
        <v>0.990881459</v>
      </c>
      <c r="AD57" s="46" t="str">
        <f t="shared" si="9"/>
        <v/>
      </c>
      <c r="AE57" s="46" t="str">
        <f t="shared" si="9"/>
        <v/>
      </c>
      <c r="AF57" s="46" t="str">
        <f t="shared" si="9"/>
        <v/>
      </c>
      <c r="AG57" s="46" t="str">
        <f t="shared" si="9"/>
        <v/>
      </c>
      <c r="AH57" s="46" t="str">
        <f t="shared" si="9"/>
        <v/>
      </c>
      <c r="AI57" s="46" t="str">
        <f t="shared" si="9"/>
        <v/>
      </c>
      <c r="AJ57" s="46" t="str">
        <f t="shared" si="9"/>
        <v/>
      </c>
      <c r="AK57" s="46" t="str">
        <f t="shared" si="9"/>
        <v/>
      </c>
      <c r="AL57" s="46" t="str">
        <f t="shared" si="9"/>
        <v/>
      </c>
      <c r="AM57" s="46" t="str">
        <f t="shared" si="9"/>
        <v/>
      </c>
      <c r="AN57" s="46" t="str">
        <f t="shared" si="9"/>
        <v/>
      </c>
      <c r="AO57" s="46" t="str">
        <f t="shared" si="9"/>
        <v/>
      </c>
      <c r="AP57" s="46" t="str">
        <f t="shared" si="9"/>
        <v/>
      </c>
      <c r="AQ57" s="46" t="str">
        <f t="shared" si="9"/>
        <v/>
      </c>
      <c r="AR57" s="46" t="str">
        <f t="shared" si="9"/>
        <v/>
      </c>
    </row>
    <row r="58" ht="12.75" customHeight="1">
      <c r="A58" s="46" t="s">
        <v>23</v>
      </c>
      <c r="B58" s="47">
        <f t="shared" ref="B58:AR58" si="10">AVERAGE(B54:B56)</f>
        <v>0.9374100719</v>
      </c>
      <c r="C58" s="47">
        <f t="shared" si="10"/>
        <v>0.9502415459</v>
      </c>
      <c r="D58" s="47">
        <f t="shared" si="10"/>
        <v>0.9719400097</v>
      </c>
      <c r="E58" s="47">
        <f t="shared" si="10"/>
        <v>0.9936923823</v>
      </c>
      <c r="F58" s="46">
        <f t="shared" si="10"/>
        <v>0.9781659389</v>
      </c>
      <c r="G58" s="47">
        <f t="shared" si="10"/>
        <v>1.014662757</v>
      </c>
      <c r="H58" s="47">
        <f t="shared" si="10"/>
        <v>1.021047479</v>
      </c>
      <c r="I58" s="47">
        <f t="shared" si="10"/>
        <v>1.023039216</v>
      </c>
      <c r="J58" s="46">
        <f t="shared" si="10"/>
        <v>1.001461988</v>
      </c>
      <c r="K58" s="46">
        <f t="shared" si="10"/>
        <v>1.007751938</v>
      </c>
      <c r="L58" s="47">
        <f t="shared" si="10"/>
        <v>1.024084778</v>
      </c>
      <c r="M58" s="46">
        <f t="shared" si="10"/>
        <v>1.020408163</v>
      </c>
      <c r="N58" s="46">
        <f t="shared" si="10"/>
        <v>1.011095031</v>
      </c>
      <c r="O58" s="46" t="str">
        <f t="shared" si="10"/>
        <v>#DIV/0!</v>
      </c>
      <c r="P58" s="46" t="str">
        <f t="shared" si="10"/>
        <v>#DIV/0!</v>
      </c>
      <c r="Q58" s="46" t="str">
        <f t="shared" si="10"/>
        <v>#DIV/0!</v>
      </c>
      <c r="R58" s="46" t="str">
        <f t="shared" si="10"/>
        <v>#DIV/0!</v>
      </c>
      <c r="S58" s="46">
        <f t="shared" si="10"/>
        <v>0.9955686854</v>
      </c>
      <c r="T58" s="47">
        <f t="shared" si="10"/>
        <v>1.034549878</v>
      </c>
      <c r="U58" s="46" t="str">
        <f t="shared" si="10"/>
        <v>#DIV/0!</v>
      </c>
      <c r="V58" s="46">
        <f t="shared" si="10"/>
        <v>1.035009862</v>
      </c>
      <c r="W58" s="47">
        <f t="shared" si="10"/>
        <v>1.038712921</v>
      </c>
      <c r="X58" s="46">
        <f t="shared" si="10"/>
        <v>1.022624434</v>
      </c>
      <c r="Y58" s="46">
        <f t="shared" si="10"/>
        <v>1.028744327</v>
      </c>
      <c r="Z58" s="46" t="str">
        <f t="shared" si="10"/>
        <v>#DIV/0!</v>
      </c>
      <c r="AA58" s="46" t="str">
        <f t="shared" si="10"/>
        <v>#DIV/0!</v>
      </c>
      <c r="AB58" s="46" t="str">
        <f t="shared" si="10"/>
        <v>#DIV/0!</v>
      </c>
      <c r="AC58" s="46" t="str">
        <f t="shared" si="10"/>
        <v>#DIV/0!</v>
      </c>
      <c r="AD58" s="47">
        <f t="shared" si="10"/>
        <v>1.050645995</v>
      </c>
      <c r="AE58" s="46">
        <f t="shared" si="10"/>
        <v>1.043389484</v>
      </c>
      <c r="AF58" s="47">
        <f t="shared" si="10"/>
        <v>1.066047472</v>
      </c>
      <c r="AG58" s="47">
        <f t="shared" si="10"/>
        <v>1.074303406</v>
      </c>
      <c r="AH58" s="47">
        <f t="shared" si="10"/>
        <v>1.090159711</v>
      </c>
      <c r="AI58" s="46">
        <f t="shared" si="10"/>
        <v>1.088205128</v>
      </c>
      <c r="AJ58" s="46" t="str">
        <f t="shared" si="10"/>
        <v>#DIV/0!</v>
      </c>
      <c r="AK58" s="46" t="str">
        <f t="shared" si="10"/>
        <v>#DIV/0!</v>
      </c>
      <c r="AL58" s="46">
        <f t="shared" si="10"/>
        <v>1.046029337</v>
      </c>
      <c r="AM58" s="46">
        <f t="shared" si="10"/>
        <v>1.065956367</v>
      </c>
      <c r="AN58" s="46">
        <f t="shared" si="10"/>
        <v>1.083847737</v>
      </c>
      <c r="AO58" s="47">
        <f t="shared" si="10"/>
        <v>1.098283931</v>
      </c>
      <c r="AP58" s="46">
        <f t="shared" si="10"/>
        <v>1.09067491</v>
      </c>
      <c r="AQ58" s="46" t="str">
        <f t="shared" si="10"/>
        <v>#DIV/0!</v>
      </c>
      <c r="AR58" s="46" t="str">
        <f t="shared" si="10"/>
        <v>#DIV/0!</v>
      </c>
    </row>
    <row r="59" ht="12.75" customHeight="1">
      <c r="B59" s="2"/>
      <c r="C59" s="2"/>
      <c r="D59" s="2"/>
      <c r="E59" s="2"/>
      <c r="F59" s="2"/>
      <c r="G59" s="2"/>
      <c r="H59" s="2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48"/>
      <c r="B1" s="48"/>
      <c r="C1" s="48">
        <v>45657.0</v>
      </c>
      <c r="D1" s="48">
        <v>45659.0</v>
      </c>
      <c r="E1" s="48">
        <v>45661.0</v>
      </c>
      <c r="F1" s="48">
        <v>45663.0</v>
      </c>
      <c r="G1" s="48">
        <v>45665.0</v>
      </c>
      <c r="H1" s="48">
        <v>45667.0</v>
      </c>
      <c r="I1" s="48">
        <v>45670.0</v>
      </c>
      <c r="J1" s="48">
        <v>45672.0</v>
      </c>
      <c r="K1" s="48">
        <v>45674.0</v>
      </c>
      <c r="L1" s="48">
        <v>45684.0</v>
      </c>
      <c r="M1" s="48">
        <v>45686.0</v>
      </c>
      <c r="N1" s="48">
        <v>45688.0</v>
      </c>
      <c r="O1" s="48">
        <v>45691.0</v>
      </c>
      <c r="P1" s="48">
        <v>45709.0</v>
      </c>
      <c r="Q1" s="48">
        <v>45723.0</v>
      </c>
      <c r="R1" s="48">
        <v>45726.0</v>
      </c>
      <c r="S1" s="48">
        <v>45728.0</v>
      </c>
      <c r="T1" s="48">
        <v>45737.0</v>
      </c>
    </row>
    <row r="2">
      <c r="A2" s="3" t="s">
        <v>38</v>
      </c>
      <c r="C2" s="3">
        <v>67.1</v>
      </c>
      <c r="D2" s="3">
        <v>67.2</v>
      </c>
      <c r="E2" s="3">
        <v>67.4</v>
      </c>
      <c r="F2" s="3">
        <v>67.7</v>
      </c>
      <c r="G2" s="3">
        <v>66.6</v>
      </c>
      <c r="H2" s="3">
        <v>66.7</v>
      </c>
      <c r="I2" s="3">
        <v>67.9</v>
      </c>
      <c r="J2" s="3">
        <v>66.6</v>
      </c>
      <c r="K2" s="3">
        <v>66.2</v>
      </c>
      <c r="L2" s="3">
        <v>68.0</v>
      </c>
      <c r="M2" s="3">
        <v>66.5</v>
      </c>
      <c r="N2" s="3">
        <v>66.7</v>
      </c>
      <c r="O2" s="3">
        <v>68.2</v>
      </c>
      <c r="P2" s="3">
        <v>66.6</v>
      </c>
      <c r="Q2" s="3">
        <v>66.1</v>
      </c>
      <c r="R2" s="3">
        <v>66.8</v>
      </c>
      <c r="S2" s="3">
        <v>66.1</v>
      </c>
      <c r="T2" s="3">
        <v>65.4</v>
      </c>
    </row>
    <row r="3">
      <c r="A3" s="49" t="s">
        <v>39</v>
      </c>
      <c r="B3" s="49">
        <v>8.0</v>
      </c>
      <c r="C3" s="49">
        <v>20.0</v>
      </c>
      <c r="D3" s="49">
        <v>24.0</v>
      </c>
      <c r="E3" s="49">
        <v>28.0</v>
      </c>
      <c r="F3" s="49">
        <v>20.0</v>
      </c>
      <c r="G3" s="49">
        <v>24.0</v>
      </c>
      <c r="H3" s="49">
        <v>28.0</v>
      </c>
      <c r="I3" s="49">
        <v>32.0</v>
      </c>
      <c r="J3" s="49">
        <v>36.0</v>
      </c>
      <c r="K3" s="49">
        <v>40.0</v>
      </c>
      <c r="L3" s="49">
        <v>40.0</v>
      </c>
      <c r="M3" s="49">
        <v>40.0</v>
      </c>
      <c r="N3" s="49">
        <v>42.0</v>
      </c>
      <c r="O3" s="49">
        <v>44.0</v>
      </c>
      <c r="P3" s="50"/>
      <c r="Q3" s="49">
        <v>20.0</v>
      </c>
      <c r="R3" s="49">
        <v>22.0</v>
      </c>
      <c r="S3" s="49">
        <v>24.0</v>
      </c>
      <c r="T3" s="49">
        <v>26.0</v>
      </c>
      <c r="U3" s="50"/>
      <c r="V3" s="50"/>
      <c r="W3" s="50"/>
      <c r="X3" s="50"/>
      <c r="Y3" s="50"/>
      <c r="Z3" s="50"/>
      <c r="AA3" s="50"/>
      <c r="AB3" s="50"/>
    </row>
    <row r="4">
      <c r="C4" s="3">
        <v>20.0</v>
      </c>
      <c r="D4" s="3">
        <v>20.0</v>
      </c>
      <c r="E4" s="3">
        <v>20.0</v>
      </c>
      <c r="F4" s="3">
        <v>20.0</v>
      </c>
      <c r="G4" s="3">
        <v>20.0</v>
      </c>
      <c r="H4" s="3">
        <v>20.0</v>
      </c>
      <c r="I4" s="3">
        <v>20.0</v>
      </c>
      <c r="J4" s="3">
        <v>20.0</v>
      </c>
      <c r="K4" s="3">
        <v>20.0</v>
      </c>
      <c r="L4" s="3">
        <v>15.0</v>
      </c>
      <c r="M4" s="3">
        <v>15.0</v>
      </c>
      <c r="N4" s="3">
        <v>15.0</v>
      </c>
      <c r="O4" s="3">
        <v>15.0</v>
      </c>
      <c r="Q4" s="3">
        <v>15.0</v>
      </c>
      <c r="R4" s="3">
        <v>15.0</v>
      </c>
      <c r="S4" s="3">
        <v>15.0</v>
      </c>
      <c r="T4" s="3">
        <v>20.0</v>
      </c>
    </row>
    <row r="5">
      <c r="C5" s="3">
        <v>20.0</v>
      </c>
      <c r="D5" s="3">
        <v>20.0</v>
      </c>
      <c r="E5" s="3">
        <v>20.0</v>
      </c>
      <c r="F5" s="3">
        <v>20.0</v>
      </c>
      <c r="G5" s="3">
        <v>20.0</v>
      </c>
      <c r="H5" s="3">
        <v>20.0</v>
      </c>
      <c r="I5" s="3">
        <v>20.0</v>
      </c>
      <c r="J5" s="3">
        <v>20.0</v>
      </c>
      <c r="K5" s="3">
        <v>20.0</v>
      </c>
      <c r="L5" s="3">
        <v>15.0</v>
      </c>
      <c r="M5" s="3">
        <v>15.0</v>
      </c>
      <c r="N5" s="3">
        <v>15.0</v>
      </c>
      <c r="O5" s="3">
        <v>15.0</v>
      </c>
      <c r="Q5" s="3">
        <v>15.0</v>
      </c>
      <c r="R5" s="3">
        <v>15.0</v>
      </c>
      <c r="S5" s="3">
        <v>20.0</v>
      </c>
      <c r="T5" s="3">
        <v>20.0</v>
      </c>
    </row>
    <row r="6">
      <c r="C6" s="3">
        <v>20.0</v>
      </c>
      <c r="D6" s="3">
        <v>20.0</v>
      </c>
      <c r="E6" s="3">
        <v>20.0</v>
      </c>
      <c r="F6" s="3">
        <v>20.0</v>
      </c>
      <c r="G6" s="3">
        <v>20.0</v>
      </c>
      <c r="H6" s="3">
        <v>20.0</v>
      </c>
      <c r="I6" s="3">
        <v>20.0</v>
      </c>
      <c r="J6" s="3">
        <v>20.0</v>
      </c>
      <c r="K6" s="3">
        <v>20.0</v>
      </c>
      <c r="L6" s="3">
        <v>15.0</v>
      </c>
      <c r="M6" s="3">
        <v>15.0</v>
      </c>
      <c r="N6" s="3">
        <v>15.0</v>
      </c>
      <c r="O6" s="3">
        <v>15.0</v>
      </c>
      <c r="Q6" s="3">
        <v>15.0</v>
      </c>
      <c r="R6" s="3">
        <v>15.0</v>
      </c>
      <c r="S6" s="3">
        <v>20.0</v>
      </c>
      <c r="T6" s="3">
        <v>20.0</v>
      </c>
    </row>
    <row r="7">
      <c r="A7" s="49" t="s">
        <v>40</v>
      </c>
      <c r="B7" s="49"/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49">
        <v>26.0</v>
      </c>
      <c r="U7" s="50"/>
      <c r="V7" s="50"/>
      <c r="W7" s="50"/>
      <c r="X7" s="50"/>
      <c r="Y7" s="50"/>
      <c r="Z7" s="50"/>
      <c r="AA7" s="50"/>
      <c r="AB7" s="50"/>
    </row>
    <row r="8">
      <c r="A8" s="3"/>
      <c r="B8" s="3"/>
      <c r="C8" s="3"/>
      <c r="D8" s="3"/>
      <c r="T8" s="3">
        <v>15.0</v>
      </c>
    </row>
    <row r="9">
      <c r="A9" s="3"/>
      <c r="B9" s="3"/>
      <c r="C9" s="3"/>
      <c r="D9" s="3"/>
      <c r="T9" s="3">
        <v>15.0</v>
      </c>
    </row>
    <row r="10">
      <c r="A10" s="3"/>
      <c r="B10" s="3"/>
      <c r="C10" s="3"/>
      <c r="D10" s="3"/>
      <c r="T10" s="3">
        <v>15.0</v>
      </c>
    </row>
    <row r="11">
      <c r="A11" s="49" t="s">
        <v>41</v>
      </c>
      <c r="B11" s="49">
        <v>8.0</v>
      </c>
      <c r="C11" s="49">
        <v>50.0</v>
      </c>
      <c r="D11" s="49">
        <v>60.0</v>
      </c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>
      <c r="C12" s="3">
        <v>3.0</v>
      </c>
      <c r="D12" s="3">
        <v>1.0</v>
      </c>
    </row>
    <row r="13">
      <c r="C13" s="3">
        <v>3.0</v>
      </c>
      <c r="D13" s="3">
        <v>1.0</v>
      </c>
    </row>
    <row r="14">
      <c r="C14" s="3">
        <v>3.0</v>
      </c>
      <c r="D14" s="3">
        <v>1.0</v>
      </c>
    </row>
    <row r="15">
      <c r="A15" s="49" t="s">
        <v>42</v>
      </c>
      <c r="B15" s="50"/>
      <c r="C15" s="49" t="s">
        <v>43</v>
      </c>
      <c r="D15" s="49" t="s">
        <v>43</v>
      </c>
      <c r="E15" s="49" t="s">
        <v>43</v>
      </c>
      <c r="F15" s="49" t="s">
        <v>43</v>
      </c>
      <c r="G15" s="49" t="s">
        <v>43</v>
      </c>
      <c r="H15" s="49" t="s">
        <v>44</v>
      </c>
      <c r="I15" s="49" t="s">
        <v>44</v>
      </c>
      <c r="J15" s="49" t="s">
        <v>44</v>
      </c>
      <c r="K15" s="49" t="s">
        <v>44</v>
      </c>
      <c r="L15" s="49" t="s">
        <v>44</v>
      </c>
      <c r="M15" s="49" t="s">
        <v>44</v>
      </c>
      <c r="N15" s="49" t="s">
        <v>44</v>
      </c>
      <c r="O15" s="49" t="s">
        <v>44</v>
      </c>
      <c r="P15" s="49" t="s">
        <v>43</v>
      </c>
      <c r="Q15" s="49" t="s">
        <v>43</v>
      </c>
      <c r="R15" s="49" t="s">
        <v>43</v>
      </c>
      <c r="S15" s="49" t="s">
        <v>43</v>
      </c>
      <c r="T15" s="49" t="s">
        <v>43</v>
      </c>
      <c r="U15" s="50"/>
      <c r="V15" s="50"/>
      <c r="W15" s="50"/>
      <c r="X15" s="50"/>
      <c r="Y15" s="50"/>
      <c r="Z15" s="50"/>
      <c r="AA15" s="50"/>
      <c r="AB15" s="50"/>
    </row>
    <row r="16">
      <c r="C16" s="3">
        <v>20.0</v>
      </c>
      <c r="D16" s="3">
        <v>20.0</v>
      </c>
      <c r="E16" s="3">
        <v>20.0</v>
      </c>
      <c r="F16" s="3">
        <v>20.0</v>
      </c>
      <c r="G16" s="3">
        <v>20.0</v>
      </c>
      <c r="H16" s="3">
        <v>20.0</v>
      </c>
      <c r="I16" s="3">
        <v>20.0</v>
      </c>
      <c r="J16" s="3">
        <v>20.0</v>
      </c>
      <c r="K16" s="3">
        <v>20.0</v>
      </c>
      <c r="L16" s="3">
        <v>15.0</v>
      </c>
      <c r="M16" s="3">
        <v>15.0</v>
      </c>
      <c r="N16" s="3">
        <v>20.0</v>
      </c>
      <c r="O16" s="3">
        <v>20.0</v>
      </c>
      <c r="P16" s="3">
        <v>12.0</v>
      </c>
      <c r="Q16" s="3">
        <v>15.0</v>
      </c>
      <c r="R16" s="3">
        <v>15.0</v>
      </c>
      <c r="S16" s="3">
        <v>20.0</v>
      </c>
      <c r="T16" s="3">
        <v>20.0</v>
      </c>
    </row>
    <row r="17">
      <c r="C17" s="3">
        <v>20.0</v>
      </c>
      <c r="D17" s="3">
        <v>20.0</v>
      </c>
      <c r="E17" s="3">
        <v>20.0</v>
      </c>
      <c r="F17" s="3">
        <v>20.0</v>
      </c>
      <c r="G17" s="3">
        <v>20.0</v>
      </c>
      <c r="H17" s="3">
        <v>20.0</v>
      </c>
      <c r="I17" s="3">
        <v>20.0</v>
      </c>
      <c r="J17" s="3">
        <v>20.0</v>
      </c>
      <c r="K17" s="3">
        <v>20.0</v>
      </c>
      <c r="L17" s="3">
        <v>15.0</v>
      </c>
      <c r="M17" s="3">
        <v>15.0</v>
      </c>
      <c r="N17" s="3">
        <v>20.0</v>
      </c>
      <c r="O17" s="3">
        <v>20.0</v>
      </c>
      <c r="P17" s="3">
        <v>12.0</v>
      </c>
      <c r="Q17" s="3">
        <v>15.0</v>
      </c>
      <c r="R17" s="3">
        <v>15.0</v>
      </c>
      <c r="S17" s="3">
        <v>20.0</v>
      </c>
      <c r="T17" s="3">
        <v>20.0</v>
      </c>
    </row>
    <row r="18">
      <c r="C18" s="3">
        <v>20.0</v>
      </c>
      <c r="D18" s="3">
        <v>20.0</v>
      </c>
      <c r="E18" s="3">
        <v>20.0</v>
      </c>
      <c r="F18" s="3">
        <v>20.0</v>
      </c>
      <c r="G18" s="3">
        <v>20.0</v>
      </c>
      <c r="H18" s="3">
        <v>20.0</v>
      </c>
      <c r="I18" s="3">
        <v>20.0</v>
      </c>
      <c r="J18" s="3">
        <v>20.0</v>
      </c>
      <c r="K18" s="3">
        <v>20.0</v>
      </c>
      <c r="L18" s="3">
        <v>15.0</v>
      </c>
      <c r="M18" s="3">
        <v>15.0</v>
      </c>
      <c r="N18" s="3">
        <v>20.0</v>
      </c>
      <c r="O18" s="3">
        <v>20.0</v>
      </c>
      <c r="P18" s="3">
        <v>12.0</v>
      </c>
      <c r="Q18" s="3">
        <v>15.0</v>
      </c>
      <c r="R18" s="3">
        <v>15.0</v>
      </c>
      <c r="S18" s="3">
        <v>20.0</v>
      </c>
      <c r="T18" s="3">
        <v>20.0</v>
      </c>
    </row>
    <row r="19">
      <c r="A19" s="49" t="s">
        <v>45</v>
      </c>
      <c r="B19" s="50"/>
      <c r="C19" s="49" t="s">
        <v>46</v>
      </c>
      <c r="D19" s="49" t="s">
        <v>46</v>
      </c>
      <c r="E19" s="49" t="s">
        <v>46</v>
      </c>
      <c r="F19" s="50"/>
      <c r="G19" s="49" t="s">
        <v>46</v>
      </c>
      <c r="H19" s="49" t="s">
        <v>46</v>
      </c>
      <c r="I19" s="49" t="s">
        <v>46</v>
      </c>
      <c r="J19" s="49" t="s">
        <v>46</v>
      </c>
      <c r="K19" s="49" t="s">
        <v>46</v>
      </c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>
      <c r="C20" s="3">
        <v>10.0</v>
      </c>
      <c r="D20" s="3">
        <v>12.0</v>
      </c>
      <c r="E20" s="3">
        <v>15.0</v>
      </c>
      <c r="G20" s="3">
        <v>15.0</v>
      </c>
      <c r="H20" s="3">
        <v>20.0</v>
      </c>
      <c r="I20" s="3">
        <v>20.0</v>
      </c>
      <c r="J20" s="3">
        <v>20.0</v>
      </c>
      <c r="K20" s="3">
        <v>20.0</v>
      </c>
    </row>
    <row r="21">
      <c r="C21" s="3">
        <v>10.0</v>
      </c>
      <c r="D21" s="3">
        <v>12.0</v>
      </c>
      <c r="E21" s="3">
        <v>15.0</v>
      </c>
      <c r="G21" s="3">
        <v>15.0</v>
      </c>
      <c r="H21" s="3">
        <v>20.0</v>
      </c>
      <c r="I21" s="3">
        <v>20.0</v>
      </c>
      <c r="J21" s="3">
        <v>20.0</v>
      </c>
      <c r="K21" s="3">
        <v>20.0</v>
      </c>
    </row>
    <row r="22">
      <c r="C22" s="3">
        <v>10.0</v>
      </c>
      <c r="D22" s="3">
        <v>12.0</v>
      </c>
      <c r="E22" s="3">
        <v>15.0</v>
      </c>
      <c r="G22" s="3">
        <v>15.0</v>
      </c>
      <c r="H22" s="3">
        <v>20.0</v>
      </c>
      <c r="I22" s="3">
        <v>20.0</v>
      </c>
      <c r="J22" s="3">
        <v>20.0</v>
      </c>
      <c r="K22" s="3">
        <v>20.0</v>
      </c>
    </row>
    <row r="23">
      <c r="A23" s="49" t="s">
        <v>47</v>
      </c>
      <c r="B23" s="50"/>
      <c r="C23" s="49">
        <v>2.5</v>
      </c>
      <c r="D23" s="49">
        <v>3.0</v>
      </c>
      <c r="E23" s="49">
        <v>3.5</v>
      </c>
      <c r="F23" s="49">
        <v>2.5</v>
      </c>
      <c r="G23" s="49">
        <v>2.5</v>
      </c>
      <c r="H23" s="49">
        <v>3.0</v>
      </c>
      <c r="I23" s="49">
        <v>3.5</v>
      </c>
      <c r="J23" s="49">
        <v>5.0</v>
      </c>
      <c r="K23" s="49">
        <v>5.0</v>
      </c>
      <c r="L23" s="49">
        <v>5.0</v>
      </c>
      <c r="M23" s="49">
        <v>5.0</v>
      </c>
      <c r="N23" s="49">
        <v>5.0</v>
      </c>
      <c r="O23" s="49">
        <v>5.0</v>
      </c>
      <c r="P23" s="50"/>
      <c r="Q23" s="49">
        <v>2.5</v>
      </c>
      <c r="R23" s="49">
        <v>2.5</v>
      </c>
      <c r="S23" s="49">
        <v>2.5</v>
      </c>
      <c r="T23" s="49">
        <v>2.5</v>
      </c>
      <c r="U23" s="50"/>
      <c r="V23" s="50"/>
      <c r="W23" s="50"/>
      <c r="X23" s="50"/>
      <c r="Y23" s="50"/>
      <c r="Z23" s="50"/>
      <c r="AA23" s="50"/>
      <c r="AB23" s="50"/>
    </row>
    <row r="24">
      <c r="C24" s="3">
        <v>20.0</v>
      </c>
      <c r="D24" s="3">
        <v>20.0</v>
      </c>
      <c r="E24" s="3">
        <v>20.0</v>
      </c>
      <c r="F24" s="3">
        <v>15.0</v>
      </c>
      <c r="G24" s="3">
        <v>20.0</v>
      </c>
      <c r="H24" s="3">
        <v>20.0</v>
      </c>
      <c r="I24" s="3">
        <v>20.0</v>
      </c>
      <c r="J24" s="3">
        <v>12.0</v>
      </c>
      <c r="K24" s="3">
        <v>15.0</v>
      </c>
      <c r="L24" s="3">
        <v>12.0</v>
      </c>
      <c r="M24" s="3">
        <v>15.0</v>
      </c>
      <c r="N24" s="3">
        <v>15.0</v>
      </c>
      <c r="O24" s="3">
        <v>15.0</v>
      </c>
      <c r="Q24" s="3">
        <v>15.0</v>
      </c>
      <c r="R24" s="3">
        <v>15.0</v>
      </c>
      <c r="S24" s="3">
        <v>16.0</v>
      </c>
      <c r="T24" s="3">
        <v>17.0</v>
      </c>
    </row>
    <row r="25">
      <c r="C25" s="3">
        <v>20.0</v>
      </c>
      <c r="D25" s="3">
        <v>20.0</v>
      </c>
      <c r="E25" s="3">
        <v>20.0</v>
      </c>
      <c r="F25" s="3">
        <v>15.0</v>
      </c>
      <c r="G25" s="3">
        <v>20.0</v>
      </c>
      <c r="H25" s="3">
        <v>20.0</v>
      </c>
      <c r="I25" s="3">
        <v>20.0</v>
      </c>
      <c r="J25" s="3">
        <v>12.0</v>
      </c>
      <c r="K25" s="3">
        <v>15.0</v>
      </c>
      <c r="L25" s="3">
        <v>12.0</v>
      </c>
      <c r="M25" s="3">
        <v>15.0</v>
      </c>
      <c r="N25" s="3">
        <v>15.0</v>
      </c>
      <c r="Q25" s="3">
        <v>15.0</v>
      </c>
      <c r="R25" s="3">
        <v>15.0</v>
      </c>
      <c r="S25" s="3">
        <v>16.0</v>
      </c>
      <c r="T25" s="3">
        <v>17.0</v>
      </c>
    </row>
    <row r="26">
      <c r="C26" s="3">
        <v>20.0</v>
      </c>
      <c r="D26" s="3">
        <v>20.0</v>
      </c>
      <c r="E26" s="3">
        <v>20.0</v>
      </c>
      <c r="F26" s="3">
        <v>15.0</v>
      </c>
      <c r="G26" s="3">
        <v>20.0</v>
      </c>
      <c r="H26" s="3">
        <v>20.0</v>
      </c>
      <c r="I26" s="3">
        <v>20.0</v>
      </c>
      <c r="J26" s="3">
        <v>12.0</v>
      </c>
      <c r="K26" s="3">
        <v>15.0</v>
      </c>
      <c r="L26" s="3">
        <v>12.0</v>
      </c>
      <c r="M26" s="3">
        <v>15.0</v>
      </c>
      <c r="N26" s="3">
        <v>15.0</v>
      </c>
      <c r="Q26" s="3">
        <v>15.0</v>
      </c>
      <c r="R26" s="3">
        <v>15.0</v>
      </c>
      <c r="S26" s="3">
        <v>16.0</v>
      </c>
      <c r="T26" s="3">
        <v>17.0</v>
      </c>
    </row>
    <row r="27">
      <c r="A27" s="49" t="s">
        <v>48</v>
      </c>
      <c r="B27" s="50"/>
      <c r="C27" s="49">
        <v>2.5</v>
      </c>
      <c r="D27" s="49">
        <v>3.0</v>
      </c>
      <c r="E27" s="49">
        <v>3.5</v>
      </c>
      <c r="F27" s="49">
        <v>5.0</v>
      </c>
      <c r="G27" s="49">
        <v>6.0</v>
      </c>
      <c r="H27" s="49">
        <v>7.0</v>
      </c>
      <c r="I27" s="49">
        <v>8.0</v>
      </c>
      <c r="J27" s="49">
        <v>10.0</v>
      </c>
      <c r="K27" s="49">
        <v>10.0</v>
      </c>
      <c r="L27" s="50"/>
      <c r="M27" s="50"/>
      <c r="N27" s="50"/>
      <c r="O27" s="50"/>
      <c r="P27" s="50"/>
      <c r="Q27" s="49">
        <v>5.0</v>
      </c>
      <c r="R27" s="49">
        <v>5.0</v>
      </c>
      <c r="S27" s="50"/>
      <c r="T27" s="50"/>
      <c r="U27" s="50"/>
      <c r="V27" s="50"/>
      <c r="W27" s="50"/>
      <c r="X27" s="50"/>
      <c r="Y27" s="50"/>
      <c r="Z27" s="50"/>
      <c r="AA27" s="50"/>
      <c r="AB27" s="50"/>
    </row>
    <row r="28">
      <c r="C28" s="3">
        <v>20.0</v>
      </c>
      <c r="D28" s="3">
        <v>20.0</v>
      </c>
      <c r="E28" s="3">
        <v>20.0</v>
      </c>
      <c r="F28" s="3">
        <v>20.0</v>
      </c>
      <c r="G28" s="3">
        <v>20.0</v>
      </c>
      <c r="H28" s="3">
        <v>20.0</v>
      </c>
      <c r="I28" s="3">
        <v>20.0</v>
      </c>
      <c r="J28" s="3">
        <v>15.0</v>
      </c>
      <c r="K28" s="3">
        <v>20.0</v>
      </c>
      <c r="Q28" s="3">
        <v>15.0</v>
      </c>
      <c r="R28" s="3">
        <v>15.0</v>
      </c>
    </row>
    <row r="29">
      <c r="C29" s="3">
        <v>20.0</v>
      </c>
      <c r="D29" s="3">
        <v>20.0</v>
      </c>
      <c r="E29" s="3">
        <v>20.0</v>
      </c>
      <c r="F29" s="3">
        <v>20.0</v>
      </c>
      <c r="G29" s="3">
        <v>20.0</v>
      </c>
      <c r="H29" s="3">
        <v>20.0</v>
      </c>
      <c r="I29" s="3">
        <v>20.0</v>
      </c>
      <c r="J29" s="3">
        <v>15.0</v>
      </c>
      <c r="K29" s="3">
        <v>20.0</v>
      </c>
      <c r="Q29" s="3">
        <v>15.0</v>
      </c>
      <c r="R29" s="3">
        <v>15.0</v>
      </c>
    </row>
    <row r="30">
      <c r="C30" s="3">
        <v>20.0</v>
      </c>
      <c r="D30" s="3">
        <v>20.0</v>
      </c>
      <c r="E30" s="3">
        <v>20.0</v>
      </c>
      <c r="F30" s="3">
        <v>20.0</v>
      </c>
      <c r="G30" s="3">
        <v>20.0</v>
      </c>
      <c r="H30" s="3">
        <v>20.0</v>
      </c>
      <c r="I30" s="3">
        <v>20.0</v>
      </c>
      <c r="J30" s="3">
        <v>15.0</v>
      </c>
      <c r="K30" s="3">
        <v>20.0</v>
      </c>
      <c r="Q30" s="3">
        <v>15.0</v>
      </c>
      <c r="R30" s="3">
        <v>15.0</v>
      </c>
    </row>
    <row r="31">
      <c r="A31" s="49" t="s">
        <v>49</v>
      </c>
      <c r="B31" s="50"/>
      <c r="C31" s="49">
        <v>2.5</v>
      </c>
      <c r="D31" s="49">
        <v>3.0</v>
      </c>
      <c r="E31" s="49">
        <v>3.5</v>
      </c>
      <c r="F31" s="50"/>
      <c r="G31" s="49">
        <v>3.5</v>
      </c>
      <c r="H31" s="49">
        <v>4.0</v>
      </c>
      <c r="I31" s="49">
        <v>5.0</v>
      </c>
      <c r="J31" s="49">
        <v>5.0</v>
      </c>
      <c r="K31" s="49">
        <v>5.0</v>
      </c>
      <c r="L31" s="49">
        <v>5.0</v>
      </c>
      <c r="M31" s="49">
        <v>5.0</v>
      </c>
      <c r="N31" s="49">
        <v>5.0</v>
      </c>
      <c r="O31" s="49">
        <v>5.0</v>
      </c>
      <c r="P31" s="50"/>
      <c r="Q31" s="50"/>
      <c r="R31" s="50"/>
      <c r="S31" s="50"/>
      <c r="T31" s="49">
        <v>5.0</v>
      </c>
      <c r="U31" s="50"/>
      <c r="V31" s="50"/>
      <c r="W31" s="50"/>
      <c r="X31" s="50"/>
      <c r="Y31" s="50"/>
      <c r="Z31" s="50"/>
      <c r="AA31" s="50"/>
      <c r="AB31" s="50"/>
    </row>
    <row r="32">
      <c r="C32" s="3">
        <v>20.0</v>
      </c>
      <c r="D32" s="3">
        <v>15.0</v>
      </c>
      <c r="E32" s="3">
        <v>15.0</v>
      </c>
      <c r="G32" s="3">
        <v>20.0</v>
      </c>
      <c r="H32" s="3">
        <v>15.0</v>
      </c>
      <c r="I32" s="3">
        <v>12.0</v>
      </c>
      <c r="J32" s="3">
        <v>12.0</v>
      </c>
      <c r="K32" s="3">
        <v>12.0</v>
      </c>
      <c r="L32" s="3">
        <v>10.0</v>
      </c>
      <c r="M32" s="3">
        <v>11.0</v>
      </c>
      <c r="N32" s="3">
        <v>12.0</v>
      </c>
      <c r="O32" s="3">
        <v>13.0</v>
      </c>
      <c r="T32" s="3">
        <v>15.0</v>
      </c>
    </row>
    <row r="33">
      <c r="C33" s="3">
        <v>15.0</v>
      </c>
      <c r="D33" s="3">
        <v>15.0</v>
      </c>
      <c r="E33" s="3">
        <v>15.0</v>
      </c>
      <c r="G33" s="3">
        <v>20.0</v>
      </c>
      <c r="H33" s="3">
        <v>15.0</v>
      </c>
      <c r="I33" s="3">
        <v>12.0</v>
      </c>
      <c r="J33" s="3">
        <v>12.0</v>
      </c>
      <c r="K33" s="3">
        <v>12.0</v>
      </c>
      <c r="L33" s="3">
        <v>10.0</v>
      </c>
      <c r="M33" s="3">
        <v>11.0</v>
      </c>
      <c r="N33" s="3">
        <v>12.0</v>
      </c>
      <c r="O33" s="3">
        <v>13.0</v>
      </c>
      <c r="T33" s="3">
        <v>15.0</v>
      </c>
    </row>
    <row r="34">
      <c r="C34" s="3">
        <v>12.0</v>
      </c>
      <c r="D34" s="3">
        <v>15.0</v>
      </c>
      <c r="E34" s="3">
        <v>15.0</v>
      </c>
      <c r="G34" s="3">
        <v>20.0</v>
      </c>
      <c r="H34" s="3">
        <v>15.0</v>
      </c>
      <c r="I34" s="3">
        <v>12.0</v>
      </c>
      <c r="J34" s="3">
        <v>12.0</v>
      </c>
      <c r="K34" s="3">
        <v>12.0</v>
      </c>
      <c r="L34" s="3">
        <v>10.0</v>
      </c>
      <c r="M34" s="3">
        <v>11.0</v>
      </c>
      <c r="N34" s="3">
        <v>12.0</v>
      </c>
      <c r="O34" s="3">
        <v>13.0</v>
      </c>
      <c r="T34" s="3">
        <v>15.0</v>
      </c>
    </row>
    <row r="35">
      <c r="A35" s="49" t="s">
        <v>50</v>
      </c>
      <c r="B35" s="49">
        <v>4.6</v>
      </c>
      <c r="C35" s="49">
        <v>10.0</v>
      </c>
      <c r="D35" s="49">
        <v>11.0</v>
      </c>
      <c r="E35" s="49">
        <v>12.0</v>
      </c>
      <c r="F35" s="49">
        <v>13.0</v>
      </c>
      <c r="G35" s="49">
        <v>14.0</v>
      </c>
      <c r="H35" s="49">
        <v>15.0</v>
      </c>
      <c r="I35" s="49">
        <v>16.0</v>
      </c>
      <c r="J35" s="49">
        <v>17.0</v>
      </c>
      <c r="K35" s="49">
        <v>18.0</v>
      </c>
      <c r="L35" s="49">
        <v>18.0</v>
      </c>
      <c r="M35" s="49">
        <v>19.0</v>
      </c>
      <c r="N35" s="49">
        <v>19.0</v>
      </c>
      <c r="O35" s="50"/>
      <c r="P35" s="50"/>
      <c r="Q35" s="49">
        <v>14.0</v>
      </c>
      <c r="R35" s="49">
        <v>14.0</v>
      </c>
      <c r="S35" s="49">
        <v>14.0</v>
      </c>
      <c r="T35" s="49">
        <v>14.0</v>
      </c>
      <c r="U35" s="50"/>
      <c r="V35" s="50"/>
      <c r="W35" s="50"/>
      <c r="X35" s="50"/>
      <c r="Y35" s="50"/>
      <c r="Z35" s="50"/>
      <c r="AA35" s="50"/>
      <c r="AB35" s="50"/>
    </row>
    <row r="36">
      <c r="C36" s="3">
        <v>20.0</v>
      </c>
      <c r="D36" s="3">
        <v>20.0</v>
      </c>
      <c r="E36" s="3">
        <v>20.0</v>
      </c>
      <c r="F36" s="3">
        <v>18.0</v>
      </c>
      <c r="G36" s="3">
        <v>15.0</v>
      </c>
      <c r="H36" s="3">
        <v>15.0</v>
      </c>
      <c r="I36" s="3">
        <v>15.0</v>
      </c>
      <c r="J36" s="3">
        <v>15.0</v>
      </c>
      <c r="K36" s="3">
        <v>15.0</v>
      </c>
      <c r="L36" s="3">
        <v>10.0</v>
      </c>
      <c r="M36" s="3">
        <v>10.0</v>
      </c>
      <c r="N36" s="3">
        <v>11.0</v>
      </c>
      <c r="Q36" s="3">
        <v>12.0</v>
      </c>
      <c r="R36" s="3">
        <v>13.0</v>
      </c>
      <c r="S36" s="3">
        <v>14.0</v>
      </c>
      <c r="T36" s="3">
        <v>15.0</v>
      </c>
    </row>
    <row r="37">
      <c r="C37" s="3">
        <v>20.0</v>
      </c>
      <c r="D37" s="3">
        <v>20.0</v>
      </c>
      <c r="E37" s="3">
        <v>20.0</v>
      </c>
      <c r="F37" s="3">
        <v>18.0</v>
      </c>
      <c r="G37" s="3">
        <v>15.0</v>
      </c>
      <c r="H37" s="3">
        <v>15.0</v>
      </c>
      <c r="I37" s="3">
        <v>15.0</v>
      </c>
      <c r="J37" s="3">
        <v>15.0</v>
      </c>
      <c r="K37" s="3">
        <v>15.0</v>
      </c>
      <c r="L37" s="3">
        <v>12.0</v>
      </c>
      <c r="M37" s="3">
        <v>10.0</v>
      </c>
      <c r="N37" s="3">
        <v>11.0</v>
      </c>
      <c r="Q37" s="3">
        <v>12.0</v>
      </c>
      <c r="R37" s="3">
        <v>13.0</v>
      </c>
      <c r="S37" s="3">
        <v>14.0</v>
      </c>
      <c r="T37" s="3">
        <v>15.0</v>
      </c>
    </row>
    <row r="38">
      <c r="C38" s="3">
        <v>20.0</v>
      </c>
      <c r="D38" s="3">
        <v>20.0</v>
      </c>
      <c r="E38" s="3">
        <v>20.0</v>
      </c>
      <c r="F38" s="3">
        <v>18.0</v>
      </c>
      <c r="G38" s="3">
        <v>15.0</v>
      </c>
      <c r="H38" s="3">
        <v>15.0</v>
      </c>
      <c r="I38" s="3">
        <v>15.0</v>
      </c>
      <c r="J38" s="3">
        <v>15.0</v>
      </c>
      <c r="K38" s="3">
        <v>15.0</v>
      </c>
      <c r="L38" s="3">
        <v>12.0</v>
      </c>
      <c r="M38" s="3">
        <v>10.0</v>
      </c>
      <c r="N38" s="3">
        <v>11.0</v>
      </c>
      <c r="Q38" s="3">
        <v>12.0</v>
      </c>
      <c r="R38" s="3">
        <v>13.0</v>
      </c>
      <c r="S38" s="3">
        <v>14.0</v>
      </c>
      <c r="T38" s="3">
        <v>15.0</v>
      </c>
    </row>
    <row r="39">
      <c r="A39" s="49" t="s">
        <v>51</v>
      </c>
      <c r="B39" s="50"/>
      <c r="C39" s="49">
        <v>7.5</v>
      </c>
      <c r="D39" s="49">
        <v>8.0</v>
      </c>
      <c r="E39" s="49">
        <v>8.5</v>
      </c>
      <c r="F39" s="49">
        <v>9.0</v>
      </c>
      <c r="G39" s="49">
        <v>10.0</v>
      </c>
      <c r="H39" s="49">
        <v>11.0</v>
      </c>
      <c r="I39" s="49">
        <v>11.5</v>
      </c>
      <c r="J39" s="49">
        <v>12.0</v>
      </c>
      <c r="K39" s="49">
        <v>12.5</v>
      </c>
      <c r="L39" s="49">
        <v>12.5</v>
      </c>
      <c r="M39" s="49">
        <v>13.0</v>
      </c>
      <c r="N39" s="49">
        <v>13.0</v>
      </c>
      <c r="O39" s="49">
        <v>13.0</v>
      </c>
      <c r="P39" s="49">
        <v>13.0</v>
      </c>
      <c r="Q39" s="49">
        <v>10.0</v>
      </c>
      <c r="R39" s="49">
        <v>10.0</v>
      </c>
      <c r="S39" s="49">
        <v>10.0</v>
      </c>
      <c r="T39" s="49">
        <v>10.0</v>
      </c>
      <c r="U39" s="50"/>
      <c r="V39" s="50"/>
      <c r="W39" s="50"/>
      <c r="X39" s="50"/>
      <c r="Y39" s="50"/>
      <c r="Z39" s="50"/>
      <c r="AA39" s="50"/>
      <c r="AB39" s="50"/>
    </row>
    <row r="40">
      <c r="C40" s="3">
        <v>20.0</v>
      </c>
      <c r="D40" s="3">
        <v>20.0</v>
      </c>
      <c r="E40" s="3">
        <v>20.0</v>
      </c>
      <c r="F40" s="3">
        <v>18.0</v>
      </c>
      <c r="G40" s="3">
        <v>18.0</v>
      </c>
      <c r="H40" s="3">
        <v>15.0</v>
      </c>
      <c r="I40" s="3">
        <v>15.0</v>
      </c>
      <c r="J40" s="3">
        <v>15.0</v>
      </c>
      <c r="K40" s="3">
        <v>15.0</v>
      </c>
      <c r="L40" s="3">
        <v>12.0</v>
      </c>
      <c r="M40" s="3">
        <v>10.0</v>
      </c>
      <c r="N40" s="3">
        <v>11.0</v>
      </c>
      <c r="O40" s="3">
        <v>12.0</v>
      </c>
      <c r="P40" s="3">
        <v>10.0</v>
      </c>
      <c r="Q40" s="3">
        <v>12.0</v>
      </c>
      <c r="R40" s="3">
        <v>15.0</v>
      </c>
      <c r="S40" s="3">
        <v>15.0</v>
      </c>
      <c r="T40" s="3">
        <v>15.0</v>
      </c>
    </row>
    <row r="41">
      <c r="C41" s="3">
        <v>20.0</v>
      </c>
      <c r="D41" s="3">
        <v>20.0</v>
      </c>
      <c r="E41" s="3">
        <v>20.0</v>
      </c>
      <c r="F41" s="3">
        <v>18.0</v>
      </c>
      <c r="G41" s="3">
        <v>18.0</v>
      </c>
      <c r="H41" s="3">
        <v>15.0</v>
      </c>
      <c r="I41" s="3">
        <v>15.0</v>
      </c>
      <c r="J41" s="3">
        <v>15.0</v>
      </c>
      <c r="K41" s="3">
        <v>15.0</v>
      </c>
      <c r="L41" s="3">
        <v>12.0</v>
      </c>
      <c r="M41" s="3">
        <v>10.0</v>
      </c>
      <c r="N41" s="3">
        <v>11.0</v>
      </c>
      <c r="O41" s="3">
        <v>12.0</v>
      </c>
      <c r="P41" s="3">
        <v>10.0</v>
      </c>
      <c r="Q41" s="3">
        <v>12.0</v>
      </c>
      <c r="R41" s="3">
        <v>15.0</v>
      </c>
      <c r="S41" s="3">
        <v>15.0</v>
      </c>
      <c r="T41" s="3">
        <v>15.0</v>
      </c>
    </row>
    <row r="42">
      <c r="C42" s="3">
        <v>20.0</v>
      </c>
      <c r="D42" s="3">
        <v>20.0</v>
      </c>
      <c r="E42" s="3">
        <v>18.0</v>
      </c>
      <c r="F42" s="3">
        <v>18.0</v>
      </c>
      <c r="G42" s="3">
        <v>18.0</v>
      </c>
      <c r="H42" s="3">
        <v>15.0</v>
      </c>
      <c r="I42" s="3">
        <v>15.0</v>
      </c>
      <c r="J42" s="3">
        <v>15.0</v>
      </c>
      <c r="K42" s="3">
        <v>15.0</v>
      </c>
      <c r="L42" s="3">
        <v>12.0</v>
      </c>
      <c r="M42" s="3">
        <v>10.0</v>
      </c>
      <c r="N42" s="3">
        <v>11.0</v>
      </c>
      <c r="O42" s="3">
        <v>12.0</v>
      </c>
      <c r="P42" s="3">
        <v>12.0</v>
      </c>
      <c r="Q42" s="3">
        <v>12.0</v>
      </c>
      <c r="R42" s="3">
        <v>15.0</v>
      </c>
      <c r="S42" s="3">
        <v>15.0</v>
      </c>
      <c r="T42" s="3">
        <v>15.0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1"/>
      <c r="B1" s="51"/>
      <c r="C1" s="52">
        <v>45740.0</v>
      </c>
      <c r="D1" s="52">
        <v>45742.0</v>
      </c>
      <c r="E1" s="52">
        <v>45748.0</v>
      </c>
      <c r="F1" s="52">
        <v>45750.0</v>
      </c>
      <c r="G1" s="52">
        <v>45752.0</v>
      </c>
      <c r="H1" s="52">
        <v>45754.0</v>
      </c>
      <c r="I1" s="52">
        <v>45762.0</v>
      </c>
      <c r="J1" s="52">
        <v>45765.0</v>
      </c>
      <c r="K1" s="52">
        <v>45767.0</v>
      </c>
      <c r="L1" s="52">
        <v>45769.0</v>
      </c>
      <c r="M1" s="52">
        <v>45771.0</v>
      </c>
      <c r="N1" s="52">
        <v>45773.0</v>
      </c>
      <c r="O1" s="52">
        <v>45775.0</v>
      </c>
      <c r="P1" s="52">
        <v>45777.0</v>
      </c>
      <c r="Q1" s="52">
        <v>45779.0</v>
      </c>
      <c r="R1" s="52">
        <v>45781.0</v>
      </c>
      <c r="S1" s="52">
        <v>45789.0</v>
      </c>
      <c r="T1" s="52">
        <v>45797.0</v>
      </c>
      <c r="U1" s="52">
        <v>45800.0</v>
      </c>
      <c r="V1" s="52">
        <v>45803.0</v>
      </c>
      <c r="W1" s="52">
        <v>45808.0</v>
      </c>
      <c r="X1" s="51"/>
      <c r="Y1" s="51"/>
      <c r="Z1" s="51"/>
    </row>
    <row r="2" ht="12.0" customHeigh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3" t="s">
        <v>52</v>
      </c>
      <c r="S2" s="51"/>
      <c r="T2" s="53" t="s">
        <v>53</v>
      </c>
      <c r="U2" s="53" t="s">
        <v>54</v>
      </c>
      <c r="V2" s="51"/>
      <c r="W2" s="51"/>
      <c r="X2" s="51"/>
      <c r="Y2" s="51"/>
      <c r="Z2" s="51"/>
    </row>
    <row r="3" ht="12.0" customHeight="1">
      <c r="A3" s="54" t="s">
        <v>39</v>
      </c>
      <c r="B3" s="54">
        <v>8.0</v>
      </c>
      <c r="C3" s="55"/>
      <c r="D3" s="55"/>
      <c r="E3" s="54">
        <v>30.0</v>
      </c>
      <c r="F3" s="54">
        <v>32.0</v>
      </c>
      <c r="G3" s="54">
        <v>34.0</v>
      </c>
      <c r="H3" s="54">
        <v>35.0</v>
      </c>
      <c r="I3" s="54">
        <v>36.0</v>
      </c>
      <c r="J3" s="54">
        <v>37.0</v>
      </c>
      <c r="K3" s="54">
        <v>38.0</v>
      </c>
      <c r="L3" s="54">
        <v>39.0</v>
      </c>
      <c r="M3" s="54">
        <v>40.0</v>
      </c>
      <c r="N3" s="54">
        <v>41.0</v>
      </c>
      <c r="O3" s="54">
        <v>42.0</v>
      </c>
      <c r="P3" s="54">
        <v>43.0</v>
      </c>
      <c r="Q3" s="54">
        <v>44.0</v>
      </c>
      <c r="R3" s="54">
        <v>45.0</v>
      </c>
      <c r="S3" s="54">
        <v>46.0</v>
      </c>
      <c r="T3" s="54">
        <v>47.0</v>
      </c>
      <c r="U3" s="54">
        <v>48.0</v>
      </c>
      <c r="V3" s="54">
        <v>49.0</v>
      </c>
      <c r="W3" s="54">
        <v>50.0</v>
      </c>
      <c r="X3" s="55"/>
      <c r="Y3" s="55"/>
      <c r="Z3" s="55"/>
    </row>
    <row r="4" ht="12.0" customHeight="1">
      <c r="A4" s="51"/>
      <c r="B4" s="51"/>
      <c r="C4" s="51"/>
      <c r="D4" s="51"/>
      <c r="E4" s="53">
        <v>20.0</v>
      </c>
      <c r="F4" s="53">
        <v>20.0</v>
      </c>
      <c r="G4" s="53">
        <v>20.0</v>
      </c>
      <c r="H4" s="53">
        <v>15.0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12.0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1"/>
      <c r="Y4" s="51"/>
      <c r="Z4" s="51"/>
    </row>
    <row r="5" ht="12.0" customHeight="1">
      <c r="A5" s="51"/>
      <c r="B5" s="51"/>
      <c r="C5" s="51"/>
      <c r="D5" s="51"/>
      <c r="E5" s="53">
        <v>20.0</v>
      </c>
      <c r="F5" s="53">
        <v>20.0</v>
      </c>
      <c r="G5" s="53">
        <v>20.0</v>
      </c>
      <c r="H5" s="53">
        <v>15.0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12.0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/>
      <c r="X5" s="51"/>
      <c r="Y5" s="51"/>
      <c r="Z5" s="51"/>
    </row>
    <row r="6" ht="12.0" customHeight="1">
      <c r="A6" s="51"/>
      <c r="B6" s="51"/>
      <c r="C6" s="51"/>
      <c r="D6" s="51"/>
      <c r="E6" s="53">
        <v>20.0</v>
      </c>
      <c r="F6" s="53">
        <v>20.0</v>
      </c>
      <c r="G6" s="53">
        <v>20.0</v>
      </c>
      <c r="H6" s="53">
        <v>15.0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12.0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/>
      <c r="X6" s="51"/>
      <c r="Y6" s="51"/>
      <c r="Z6" s="51"/>
    </row>
    <row r="7" ht="12.0" customHeight="1">
      <c r="A7" s="54" t="s">
        <v>55</v>
      </c>
      <c r="B7" s="54">
        <v>4.6</v>
      </c>
      <c r="C7" s="55"/>
      <c r="D7" s="55"/>
      <c r="E7" s="54">
        <v>10.0</v>
      </c>
      <c r="F7" s="54">
        <v>10.5</v>
      </c>
      <c r="G7" s="54">
        <v>11.0</v>
      </c>
      <c r="H7" s="54">
        <v>11.5</v>
      </c>
      <c r="I7" s="54">
        <v>12.0</v>
      </c>
      <c r="J7" s="54">
        <v>12.5</v>
      </c>
      <c r="K7" s="54">
        <v>13.0</v>
      </c>
      <c r="L7" s="54">
        <v>13.5</v>
      </c>
      <c r="M7" s="54">
        <v>14.0</v>
      </c>
      <c r="N7" s="54">
        <v>14.0</v>
      </c>
      <c r="O7" s="54">
        <v>14.0</v>
      </c>
      <c r="P7" s="54">
        <v>14.0</v>
      </c>
      <c r="Q7" s="54">
        <v>14.5</v>
      </c>
      <c r="R7" s="54">
        <v>15.0</v>
      </c>
      <c r="S7" s="54">
        <v>15.0</v>
      </c>
      <c r="T7" s="54">
        <v>15.0</v>
      </c>
      <c r="U7" s="54">
        <v>15.0</v>
      </c>
      <c r="V7" s="54">
        <v>15.0</v>
      </c>
      <c r="W7" s="54">
        <v>15.0</v>
      </c>
      <c r="X7" s="55"/>
      <c r="Y7" s="55"/>
      <c r="Z7" s="55"/>
    </row>
    <row r="8" ht="12.0" customHeight="1">
      <c r="A8" s="51"/>
      <c r="B8" s="51"/>
      <c r="C8" s="51"/>
      <c r="D8" s="51"/>
      <c r="E8" s="53">
        <v>12.0</v>
      </c>
      <c r="F8" s="53">
        <v>15.0</v>
      </c>
      <c r="G8" s="53">
        <v>15.0</v>
      </c>
      <c r="H8" s="53">
        <v>12.0</v>
      </c>
      <c r="I8" s="53">
        <v>15.0</v>
      </c>
      <c r="J8" s="53">
        <v>15.0</v>
      </c>
      <c r="K8" s="53">
        <v>15.0</v>
      </c>
      <c r="L8" s="53">
        <v>15.0</v>
      </c>
      <c r="M8" s="53">
        <v>15.0</v>
      </c>
      <c r="N8" s="53">
        <v>15.0</v>
      </c>
      <c r="O8" s="53">
        <v>15.0</v>
      </c>
      <c r="P8" s="53">
        <v>15.0</v>
      </c>
      <c r="Q8" s="53">
        <v>12.0</v>
      </c>
      <c r="R8" s="53">
        <v>12.0</v>
      </c>
      <c r="S8" s="53">
        <v>12.0</v>
      </c>
      <c r="T8" s="53">
        <v>12.0</v>
      </c>
      <c r="U8" s="53">
        <v>12.0</v>
      </c>
      <c r="V8" s="53">
        <v>12.0</v>
      </c>
      <c r="W8" s="53">
        <v>12.0</v>
      </c>
      <c r="X8" s="51"/>
      <c r="Y8" s="51"/>
      <c r="Z8" s="51"/>
    </row>
    <row r="9" ht="12.0" customHeight="1">
      <c r="A9" s="51"/>
      <c r="B9" s="51"/>
      <c r="C9" s="51"/>
      <c r="D9" s="51"/>
      <c r="E9" s="53">
        <v>12.0</v>
      </c>
      <c r="F9" s="53">
        <v>15.0</v>
      </c>
      <c r="G9" s="53">
        <v>15.0</v>
      </c>
      <c r="H9" s="53">
        <v>12.0</v>
      </c>
      <c r="I9" s="53">
        <v>15.0</v>
      </c>
      <c r="J9" s="53">
        <v>15.0</v>
      </c>
      <c r="K9" s="53">
        <v>15.0</v>
      </c>
      <c r="L9" s="53">
        <v>15.0</v>
      </c>
      <c r="M9" s="53">
        <v>15.0</v>
      </c>
      <c r="N9" s="53">
        <v>15.0</v>
      </c>
      <c r="O9" s="53">
        <v>15.0</v>
      </c>
      <c r="P9" s="53">
        <v>15.0</v>
      </c>
      <c r="Q9" s="53">
        <v>12.0</v>
      </c>
      <c r="R9" s="53">
        <v>12.0</v>
      </c>
      <c r="S9" s="53">
        <v>12.0</v>
      </c>
      <c r="T9" s="53">
        <v>12.0</v>
      </c>
      <c r="U9" s="53">
        <v>12.0</v>
      </c>
      <c r="V9" s="53">
        <v>12.0</v>
      </c>
      <c r="W9" s="51"/>
      <c r="X9" s="51"/>
      <c r="Y9" s="51"/>
      <c r="Z9" s="51"/>
    </row>
    <row r="10" ht="12.0" customHeight="1">
      <c r="A10" s="51"/>
      <c r="B10" s="51"/>
      <c r="C10" s="51"/>
      <c r="D10" s="51"/>
      <c r="E10" s="53">
        <v>12.0</v>
      </c>
      <c r="F10" s="53">
        <v>15.0</v>
      </c>
      <c r="G10" s="53">
        <v>15.0</v>
      </c>
      <c r="H10" s="53">
        <v>12.0</v>
      </c>
      <c r="I10" s="53">
        <v>15.0</v>
      </c>
      <c r="J10" s="53">
        <v>15.0</v>
      </c>
      <c r="K10" s="53">
        <v>15.0</v>
      </c>
      <c r="L10" s="53">
        <v>15.0</v>
      </c>
      <c r="M10" s="53">
        <v>15.0</v>
      </c>
      <c r="N10" s="53">
        <v>15.0</v>
      </c>
      <c r="O10" s="53">
        <v>15.0</v>
      </c>
      <c r="P10" s="53">
        <v>15.0</v>
      </c>
      <c r="Q10" s="53">
        <v>12.0</v>
      </c>
      <c r="R10" s="53">
        <v>12.0</v>
      </c>
      <c r="S10" s="53">
        <v>12.0</v>
      </c>
      <c r="T10" s="53">
        <v>12.0</v>
      </c>
      <c r="U10" s="53">
        <v>12.0</v>
      </c>
      <c r="V10" s="53">
        <v>12.0</v>
      </c>
      <c r="W10" s="51"/>
      <c r="X10" s="51"/>
      <c r="Y10" s="51"/>
      <c r="Z10" s="51"/>
    </row>
    <row r="11" ht="12.0" customHeight="1">
      <c r="A11" s="54" t="s">
        <v>42</v>
      </c>
      <c r="B11" s="54"/>
      <c r="C11" s="54"/>
      <c r="D11" s="54"/>
      <c r="E11" s="54"/>
      <c r="F11" s="54"/>
      <c r="G11" s="54"/>
      <c r="H11" s="54"/>
      <c r="I11" s="54"/>
      <c r="J11" s="54" t="s">
        <v>43</v>
      </c>
      <c r="K11" s="54" t="s">
        <v>44</v>
      </c>
      <c r="L11" s="54" t="s">
        <v>44</v>
      </c>
      <c r="M11" s="55"/>
      <c r="N11" s="54" t="s">
        <v>44</v>
      </c>
      <c r="O11" s="54" t="s">
        <v>44</v>
      </c>
      <c r="P11" s="54" t="s">
        <v>44</v>
      </c>
      <c r="Q11" s="54" t="s">
        <v>44</v>
      </c>
      <c r="R11" s="54" t="s">
        <v>44</v>
      </c>
      <c r="S11" s="54" t="s">
        <v>44</v>
      </c>
      <c r="T11" s="54" t="s">
        <v>44</v>
      </c>
      <c r="U11" s="54" t="s">
        <v>44</v>
      </c>
      <c r="V11" s="54" t="s">
        <v>44</v>
      </c>
      <c r="W11" s="54" t="s">
        <v>44</v>
      </c>
      <c r="X11" s="55"/>
      <c r="Y11" s="55"/>
      <c r="Z11" s="55"/>
    </row>
    <row r="12" ht="12.0" customHeight="1">
      <c r="A12" s="56"/>
      <c r="B12" s="56"/>
      <c r="C12" s="56"/>
      <c r="D12" s="56"/>
      <c r="E12" s="56"/>
      <c r="F12" s="56"/>
      <c r="G12" s="56"/>
      <c r="H12" s="56"/>
      <c r="I12" s="56"/>
      <c r="J12" s="56">
        <v>20.0</v>
      </c>
      <c r="K12" s="56">
        <v>12.0</v>
      </c>
      <c r="L12" s="56">
        <v>15.0</v>
      </c>
      <c r="M12" s="57"/>
      <c r="N12" s="56">
        <v>15.0</v>
      </c>
      <c r="O12" s="56">
        <v>15.0</v>
      </c>
      <c r="P12" s="56">
        <v>15.0</v>
      </c>
      <c r="Q12" s="56">
        <v>15.0</v>
      </c>
      <c r="R12" s="56">
        <v>15.0</v>
      </c>
      <c r="S12" s="56">
        <v>15.0</v>
      </c>
      <c r="T12" s="56">
        <v>10.0</v>
      </c>
      <c r="U12" s="56">
        <v>15.0</v>
      </c>
      <c r="V12" s="56">
        <v>12.0</v>
      </c>
      <c r="W12" s="57"/>
      <c r="X12" s="57"/>
      <c r="Y12" s="57"/>
      <c r="Z12" s="57"/>
    </row>
    <row r="13" ht="12.0" customHeight="1">
      <c r="A13" s="56"/>
      <c r="B13" s="56"/>
      <c r="C13" s="56"/>
      <c r="D13" s="56"/>
      <c r="E13" s="56"/>
      <c r="F13" s="56"/>
      <c r="G13" s="56"/>
      <c r="H13" s="56"/>
      <c r="I13" s="56"/>
      <c r="J13" s="56">
        <v>20.0</v>
      </c>
      <c r="K13" s="56">
        <v>12.0</v>
      </c>
      <c r="L13" s="56">
        <v>15.0</v>
      </c>
      <c r="M13" s="57"/>
      <c r="N13" s="56">
        <v>15.0</v>
      </c>
      <c r="O13" s="56">
        <v>15.0</v>
      </c>
      <c r="P13" s="56">
        <v>15.0</v>
      </c>
      <c r="Q13" s="56">
        <v>15.0</v>
      </c>
      <c r="R13" s="56">
        <v>15.0</v>
      </c>
      <c r="S13" s="56">
        <v>15.0</v>
      </c>
      <c r="T13" s="56">
        <v>10.0</v>
      </c>
      <c r="U13" s="56">
        <v>15.0</v>
      </c>
      <c r="V13" s="56">
        <v>12.0</v>
      </c>
      <c r="W13" s="57"/>
      <c r="X13" s="57"/>
      <c r="Y13" s="57"/>
      <c r="Z13" s="57"/>
    </row>
    <row r="14" ht="12.0" customHeight="1">
      <c r="A14" s="56"/>
      <c r="B14" s="56"/>
      <c r="C14" s="56"/>
      <c r="D14" s="56"/>
      <c r="E14" s="56"/>
      <c r="F14" s="56"/>
      <c r="G14" s="56"/>
      <c r="H14" s="56"/>
      <c r="I14" s="56"/>
      <c r="J14" s="56">
        <v>20.0</v>
      </c>
      <c r="K14" s="56">
        <v>12.0</v>
      </c>
      <c r="L14" s="56">
        <v>15.0</v>
      </c>
      <c r="M14" s="57"/>
      <c r="N14" s="56">
        <v>15.0</v>
      </c>
      <c r="O14" s="56">
        <v>15.0</v>
      </c>
      <c r="P14" s="56">
        <v>15.0</v>
      </c>
      <c r="Q14" s="56">
        <v>15.0</v>
      </c>
      <c r="R14" s="56">
        <v>15.0</v>
      </c>
      <c r="S14" s="56">
        <v>15.0</v>
      </c>
      <c r="T14" s="56">
        <v>10.0</v>
      </c>
      <c r="U14" s="56">
        <v>15.0</v>
      </c>
      <c r="V14" s="56">
        <v>12.0</v>
      </c>
      <c r="W14" s="57"/>
      <c r="X14" s="57"/>
      <c r="Y14" s="57"/>
      <c r="Z14" s="57"/>
    </row>
    <row r="15" ht="12.0" customHeight="1">
      <c r="A15" s="54" t="s">
        <v>56</v>
      </c>
      <c r="B15" s="54">
        <v>8.0</v>
      </c>
      <c r="C15" s="54">
        <v>20.0</v>
      </c>
      <c r="D15" s="54">
        <v>21.0</v>
      </c>
      <c r="E15" s="54">
        <v>22.0</v>
      </c>
      <c r="F15" s="54">
        <v>23.0</v>
      </c>
      <c r="G15" s="54">
        <v>24.0</v>
      </c>
      <c r="H15" s="54">
        <v>25.0</v>
      </c>
      <c r="I15" s="54">
        <v>26.0</v>
      </c>
      <c r="J15" s="54">
        <v>27.0</v>
      </c>
      <c r="K15" s="54">
        <v>28.0</v>
      </c>
      <c r="L15" s="54">
        <v>29.0</v>
      </c>
      <c r="M15" s="54">
        <v>30.0</v>
      </c>
      <c r="N15" s="54">
        <v>30.0</v>
      </c>
      <c r="O15" s="54">
        <v>30.0</v>
      </c>
      <c r="P15" s="54">
        <v>30.0</v>
      </c>
      <c r="Q15" s="54">
        <v>30.0</v>
      </c>
      <c r="R15" s="54">
        <v>34.0</v>
      </c>
      <c r="S15" s="54">
        <v>35.0</v>
      </c>
      <c r="T15" s="54">
        <v>36.0</v>
      </c>
      <c r="U15" s="54"/>
      <c r="V15" s="54">
        <v>30.0</v>
      </c>
      <c r="W15" s="54">
        <v>31.0</v>
      </c>
      <c r="X15" s="54">
        <v>31.0</v>
      </c>
      <c r="Y15" s="55"/>
      <c r="Z15" s="55"/>
    </row>
    <row r="16" ht="12.0" customHeight="1">
      <c r="A16" s="51"/>
      <c r="B16" s="51"/>
      <c r="C16" s="53">
        <v>10.0</v>
      </c>
      <c r="D16" s="53">
        <v>10.0</v>
      </c>
      <c r="E16" s="53">
        <v>10.0</v>
      </c>
      <c r="F16" s="53">
        <v>10.0</v>
      </c>
      <c r="G16" s="53">
        <v>10.0</v>
      </c>
      <c r="H16" s="53">
        <v>10.0</v>
      </c>
      <c r="I16" s="53">
        <v>10.0</v>
      </c>
      <c r="J16" s="53">
        <v>10.0</v>
      </c>
      <c r="K16" s="53">
        <v>10.0</v>
      </c>
      <c r="L16" s="53">
        <v>10.0</v>
      </c>
      <c r="M16" s="53">
        <v>10.0</v>
      </c>
      <c r="N16" s="53">
        <v>11.0</v>
      </c>
      <c r="O16" s="53">
        <v>12.0</v>
      </c>
      <c r="P16" s="53">
        <v>13.0</v>
      </c>
      <c r="Q16" s="53">
        <v>14.0</v>
      </c>
      <c r="R16" s="53">
        <v>15.0</v>
      </c>
      <c r="S16" s="53">
        <v>12.0</v>
      </c>
      <c r="T16" s="58">
        <v>12.0</v>
      </c>
      <c r="U16" s="53"/>
      <c r="V16" s="53">
        <v>12.0</v>
      </c>
      <c r="W16" s="53">
        <v>10.0</v>
      </c>
      <c r="X16" s="53">
        <v>12.0</v>
      </c>
      <c r="Y16" s="51"/>
      <c r="Z16" s="51"/>
    </row>
    <row r="17" ht="12.0" customHeight="1">
      <c r="A17" s="51"/>
      <c r="B17" s="51"/>
      <c r="C17" s="53">
        <v>10.0</v>
      </c>
      <c r="D17" s="53">
        <v>10.0</v>
      </c>
      <c r="E17" s="53">
        <v>10.0</v>
      </c>
      <c r="F17" s="53">
        <v>10.0</v>
      </c>
      <c r="G17" s="53">
        <v>10.0</v>
      </c>
      <c r="H17" s="53">
        <v>10.0</v>
      </c>
      <c r="I17" s="53">
        <v>10.0</v>
      </c>
      <c r="J17" s="53">
        <v>10.0</v>
      </c>
      <c r="K17" s="53">
        <v>10.0</v>
      </c>
      <c r="L17" s="53">
        <v>10.0</v>
      </c>
      <c r="M17" s="53">
        <v>10.0</v>
      </c>
      <c r="N17" s="53">
        <v>11.0</v>
      </c>
      <c r="O17" s="53">
        <v>12.0</v>
      </c>
      <c r="P17" s="53">
        <v>13.0</v>
      </c>
      <c r="Q17" s="53">
        <v>14.0</v>
      </c>
      <c r="R17" s="53">
        <v>15.0</v>
      </c>
      <c r="S17" s="53">
        <v>12.0</v>
      </c>
      <c r="T17" s="53" t="s">
        <v>10</v>
      </c>
      <c r="U17" s="51"/>
      <c r="V17" s="53">
        <v>12.0</v>
      </c>
      <c r="W17" s="51"/>
      <c r="X17" s="51"/>
      <c r="Y17" s="51"/>
      <c r="Z17" s="51"/>
    </row>
    <row r="18" ht="12.0" customHeight="1">
      <c r="A18" s="51"/>
      <c r="B18" s="51"/>
      <c r="C18" s="53">
        <v>10.0</v>
      </c>
      <c r="D18" s="53">
        <v>10.0</v>
      </c>
      <c r="E18" s="53">
        <v>10.0</v>
      </c>
      <c r="F18" s="53">
        <v>10.0</v>
      </c>
      <c r="G18" s="53">
        <v>10.0</v>
      </c>
      <c r="H18" s="53">
        <v>10.0</v>
      </c>
      <c r="I18" s="53">
        <v>10.0</v>
      </c>
      <c r="J18" s="53">
        <v>10.0</v>
      </c>
      <c r="K18" s="53">
        <v>10.0</v>
      </c>
      <c r="L18" s="53">
        <v>10.0</v>
      </c>
      <c r="M18" s="53">
        <v>10.0</v>
      </c>
      <c r="N18" s="53">
        <v>11.0</v>
      </c>
      <c r="O18" s="53">
        <v>12.0</v>
      </c>
      <c r="P18" s="53">
        <v>13.0</v>
      </c>
      <c r="Q18" s="53">
        <v>14.0</v>
      </c>
      <c r="R18" s="53">
        <v>15.0</v>
      </c>
      <c r="S18" s="53">
        <v>12.0</v>
      </c>
      <c r="T18" s="53" t="s">
        <v>10</v>
      </c>
      <c r="U18" s="51"/>
      <c r="V18" s="53">
        <v>12.0</v>
      </c>
      <c r="W18" s="51"/>
      <c r="X18" s="51"/>
      <c r="Y18" s="51"/>
      <c r="Z18" s="51"/>
    </row>
    <row r="19" ht="12.0" customHeight="1">
      <c r="A19" s="54" t="s">
        <v>57</v>
      </c>
      <c r="B19" s="55"/>
      <c r="C19" s="54">
        <v>5.0</v>
      </c>
      <c r="D19" s="54">
        <v>5.0</v>
      </c>
      <c r="E19" s="54">
        <v>5.0</v>
      </c>
      <c r="F19" s="54">
        <v>5.0</v>
      </c>
      <c r="G19" s="54">
        <v>5.0</v>
      </c>
      <c r="H19" s="54">
        <v>5.0</v>
      </c>
      <c r="I19" s="54">
        <v>5.0</v>
      </c>
      <c r="J19" s="54">
        <v>5.0</v>
      </c>
      <c r="K19" s="54">
        <v>5.0</v>
      </c>
      <c r="L19" s="54">
        <v>5.0</v>
      </c>
      <c r="M19" s="54">
        <v>5.0</v>
      </c>
      <c r="N19" s="54">
        <v>5.5</v>
      </c>
      <c r="O19" s="54">
        <v>5.5</v>
      </c>
      <c r="P19" s="54">
        <v>5.5</v>
      </c>
      <c r="Q19" s="54">
        <v>5.5</v>
      </c>
      <c r="R19" s="54">
        <v>5.5</v>
      </c>
      <c r="S19" s="54">
        <v>6.0</v>
      </c>
      <c r="T19" s="54">
        <v>6.0</v>
      </c>
      <c r="U19" s="54">
        <v>6.0</v>
      </c>
      <c r="V19" s="54">
        <v>6.0</v>
      </c>
      <c r="W19" s="54">
        <v>6.0</v>
      </c>
      <c r="X19" s="55"/>
      <c r="Y19" s="55"/>
      <c r="Z19" s="55"/>
    </row>
    <row r="20" ht="12.0" customHeight="1">
      <c r="A20" s="51"/>
      <c r="B20" s="51"/>
      <c r="C20" s="53">
        <v>10.0</v>
      </c>
      <c r="D20" s="53">
        <v>11.0</v>
      </c>
      <c r="E20" s="53">
        <v>12.0</v>
      </c>
      <c r="F20" s="53">
        <v>13.0</v>
      </c>
      <c r="G20" s="53">
        <v>14.0</v>
      </c>
      <c r="H20" s="53">
        <v>15.0</v>
      </c>
      <c r="I20" s="53">
        <v>16.0</v>
      </c>
      <c r="J20" s="53">
        <v>17.0</v>
      </c>
      <c r="K20" s="53">
        <v>18.0</v>
      </c>
      <c r="L20" s="53">
        <v>19.0</v>
      </c>
      <c r="M20" s="53">
        <v>20.0</v>
      </c>
      <c r="N20" s="53">
        <v>12.0</v>
      </c>
      <c r="O20" s="53">
        <v>13.0</v>
      </c>
      <c r="P20" s="53">
        <v>14.0</v>
      </c>
      <c r="Q20" s="53">
        <v>15.0</v>
      </c>
      <c r="R20" s="53">
        <v>16.0</v>
      </c>
      <c r="S20" s="53">
        <v>12.0</v>
      </c>
      <c r="T20" s="53">
        <v>13.0</v>
      </c>
      <c r="U20" s="53">
        <v>14.0</v>
      </c>
      <c r="V20" s="53">
        <v>15.0</v>
      </c>
      <c r="W20" s="53">
        <v>16.0</v>
      </c>
      <c r="X20" s="51"/>
      <c r="Y20" s="51"/>
      <c r="Z20" s="51"/>
    </row>
    <row r="21" ht="12.0" customHeight="1">
      <c r="A21" s="51"/>
      <c r="B21" s="51"/>
      <c r="C21" s="53">
        <v>10.0</v>
      </c>
      <c r="D21" s="53">
        <v>11.0</v>
      </c>
      <c r="E21" s="53">
        <v>12.0</v>
      </c>
      <c r="F21" s="53">
        <v>13.0</v>
      </c>
      <c r="G21" s="53">
        <v>14.0</v>
      </c>
      <c r="H21" s="53">
        <v>15.0</v>
      </c>
      <c r="I21" s="53">
        <v>16.0</v>
      </c>
      <c r="J21" s="53">
        <v>17.0</v>
      </c>
      <c r="K21" s="53">
        <v>18.0</v>
      </c>
      <c r="L21" s="53">
        <v>19.0</v>
      </c>
      <c r="M21" s="53">
        <v>20.0</v>
      </c>
      <c r="N21" s="53">
        <v>12.0</v>
      </c>
      <c r="O21" s="53">
        <v>13.0</v>
      </c>
      <c r="P21" s="53">
        <v>14.0</v>
      </c>
      <c r="Q21" s="53">
        <v>15.0</v>
      </c>
      <c r="R21" s="53">
        <v>16.0</v>
      </c>
      <c r="S21" s="53">
        <v>12.0</v>
      </c>
      <c r="T21" s="53">
        <v>13.0</v>
      </c>
      <c r="U21" s="53">
        <v>14.0</v>
      </c>
      <c r="V21" s="53">
        <v>15.0</v>
      </c>
      <c r="W21" s="51"/>
      <c r="X21" s="51"/>
      <c r="Y21" s="51"/>
      <c r="Z21" s="51"/>
    </row>
    <row r="22" ht="12.0" customHeight="1">
      <c r="A22" s="51"/>
      <c r="B22" s="51"/>
      <c r="C22" s="53">
        <v>10.0</v>
      </c>
      <c r="D22" s="53">
        <v>11.0</v>
      </c>
      <c r="E22" s="53">
        <v>12.0</v>
      </c>
      <c r="F22" s="53">
        <v>13.0</v>
      </c>
      <c r="G22" s="53">
        <v>14.0</v>
      </c>
      <c r="H22" s="53">
        <v>15.0</v>
      </c>
      <c r="I22" s="53">
        <v>16.0</v>
      </c>
      <c r="J22" s="53">
        <v>17.0</v>
      </c>
      <c r="K22" s="53">
        <v>18.0</v>
      </c>
      <c r="L22" s="53">
        <v>19.0</v>
      </c>
      <c r="M22" s="53">
        <v>20.0</v>
      </c>
      <c r="N22" s="53">
        <v>12.0</v>
      </c>
      <c r="O22" s="53">
        <v>13.0</v>
      </c>
      <c r="P22" s="53">
        <v>14.0</v>
      </c>
      <c r="Q22" s="53">
        <v>15.0</v>
      </c>
      <c r="R22" s="53">
        <v>16.0</v>
      </c>
      <c r="S22" s="53">
        <v>12.0</v>
      </c>
      <c r="T22" s="53">
        <v>13.0</v>
      </c>
      <c r="U22" s="53">
        <v>14.0</v>
      </c>
      <c r="V22" s="53">
        <v>15.0</v>
      </c>
      <c r="W22" s="51"/>
      <c r="X22" s="51"/>
      <c r="Y22" s="51"/>
      <c r="Z22" s="51"/>
    </row>
    <row r="23" ht="12.0" customHeight="1">
      <c r="A23" s="54" t="s">
        <v>58</v>
      </c>
      <c r="B23" s="55"/>
      <c r="C23" s="54">
        <v>5.0</v>
      </c>
      <c r="D23" s="54">
        <v>5.0</v>
      </c>
      <c r="E23" s="54">
        <v>5.0</v>
      </c>
      <c r="F23" s="54">
        <v>5.0</v>
      </c>
      <c r="G23" s="54">
        <v>5.0</v>
      </c>
      <c r="H23" s="54">
        <v>5.0</v>
      </c>
      <c r="I23" s="54">
        <v>5.0</v>
      </c>
      <c r="J23" s="54">
        <v>5.0</v>
      </c>
      <c r="K23" s="54">
        <v>5.0</v>
      </c>
      <c r="L23" s="54">
        <v>5.0</v>
      </c>
      <c r="M23" s="54">
        <v>5.0</v>
      </c>
      <c r="N23" s="54">
        <v>6.0</v>
      </c>
      <c r="O23" s="54">
        <v>6.0</v>
      </c>
      <c r="P23" s="54">
        <v>6.0</v>
      </c>
      <c r="Q23" s="54">
        <v>6.0</v>
      </c>
      <c r="R23" s="54">
        <v>6.0</v>
      </c>
      <c r="S23" s="54">
        <v>6.0</v>
      </c>
      <c r="T23" s="54">
        <v>6.0</v>
      </c>
      <c r="U23" s="54">
        <v>6.0</v>
      </c>
      <c r="V23" s="54">
        <v>6.0</v>
      </c>
      <c r="W23" s="54">
        <v>6.0</v>
      </c>
      <c r="X23" s="55"/>
      <c r="Y23" s="55"/>
      <c r="Z23" s="55"/>
    </row>
    <row r="24" ht="12.0" customHeight="1">
      <c r="A24" s="51"/>
      <c r="B24" s="51"/>
      <c r="C24" s="53">
        <v>15.0</v>
      </c>
      <c r="D24" s="53">
        <v>16.0</v>
      </c>
      <c r="E24" s="53">
        <v>16.0</v>
      </c>
      <c r="F24" s="53">
        <v>16.0</v>
      </c>
      <c r="G24" s="53">
        <v>17.0</v>
      </c>
      <c r="H24" s="53">
        <v>15.0</v>
      </c>
      <c r="I24" s="53">
        <v>17.0</v>
      </c>
      <c r="J24" s="53">
        <v>17.0</v>
      </c>
      <c r="K24" s="53">
        <v>18.0</v>
      </c>
      <c r="L24" s="53">
        <v>18.0</v>
      </c>
      <c r="M24" s="53">
        <v>18.0</v>
      </c>
      <c r="N24" s="53">
        <v>10.0</v>
      </c>
      <c r="O24" s="53">
        <v>11.0</v>
      </c>
      <c r="P24" s="53">
        <v>12.0</v>
      </c>
      <c r="Q24" s="53">
        <v>13.0</v>
      </c>
      <c r="R24" s="53">
        <v>13.0</v>
      </c>
      <c r="S24" s="53">
        <v>14.0</v>
      </c>
      <c r="T24" s="53">
        <v>14.0</v>
      </c>
      <c r="U24" s="53">
        <v>14.0</v>
      </c>
      <c r="V24" s="53">
        <v>15.0</v>
      </c>
      <c r="W24" s="53">
        <v>15.0</v>
      </c>
      <c r="X24" s="51"/>
      <c r="Y24" s="51"/>
      <c r="Z24" s="51"/>
    </row>
    <row r="25" ht="12.0" customHeight="1">
      <c r="A25" s="51"/>
      <c r="B25" s="51"/>
      <c r="C25" s="53">
        <v>15.0</v>
      </c>
      <c r="D25" s="53">
        <v>15.0</v>
      </c>
      <c r="E25" s="53">
        <v>16.0</v>
      </c>
      <c r="F25" s="53">
        <v>16.0</v>
      </c>
      <c r="G25" s="53">
        <v>16.0</v>
      </c>
      <c r="H25" s="53">
        <v>15.0</v>
      </c>
      <c r="I25" s="53">
        <v>17.0</v>
      </c>
      <c r="J25" s="53">
        <v>17.0</v>
      </c>
      <c r="K25" s="53">
        <v>17.0</v>
      </c>
      <c r="L25" s="53">
        <v>18.0</v>
      </c>
      <c r="M25" s="53">
        <v>18.0</v>
      </c>
      <c r="N25" s="53">
        <v>10.0</v>
      </c>
      <c r="O25" s="53">
        <v>11.0</v>
      </c>
      <c r="P25" s="53">
        <v>12.0</v>
      </c>
      <c r="Q25" s="53">
        <v>13.0</v>
      </c>
      <c r="R25" s="53">
        <v>13.0</v>
      </c>
      <c r="S25" s="53">
        <v>13.0</v>
      </c>
      <c r="T25" s="53">
        <v>14.0</v>
      </c>
      <c r="U25" s="53">
        <v>14.0</v>
      </c>
      <c r="V25" s="53">
        <v>15.0</v>
      </c>
      <c r="W25" s="51"/>
      <c r="X25" s="51"/>
      <c r="Y25" s="51"/>
      <c r="Z25" s="51"/>
    </row>
    <row r="26" ht="12.0" customHeight="1">
      <c r="A26" s="51"/>
      <c r="B26" s="51"/>
      <c r="C26" s="53">
        <v>15.0</v>
      </c>
      <c r="D26" s="53">
        <v>15.0</v>
      </c>
      <c r="E26" s="53">
        <v>15.0</v>
      </c>
      <c r="F26" s="53">
        <v>16.0</v>
      </c>
      <c r="G26" s="53">
        <v>16.0</v>
      </c>
      <c r="H26" s="53">
        <v>15.0</v>
      </c>
      <c r="I26" s="53">
        <v>16.0</v>
      </c>
      <c r="J26" s="53">
        <v>17.0</v>
      </c>
      <c r="K26" s="53">
        <v>17.0</v>
      </c>
      <c r="L26" s="53">
        <v>17.0</v>
      </c>
      <c r="M26" s="53">
        <v>18.0</v>
      </c>
      <c r="N26" s="53">
        <v>10.0</v>
      </c>
      <c r="O26" s="53">
        <v>11.0</v>
      </c>
      <c r="P26" s="53">
        <v>12.0</v>
      </c>
      <c r="Q26" s="53">
        <v>12.0</v>
      </c>
      <c r="R26" s="53">
        <v>13.0</v>
      </c>
      <c r="S26" s="53">
        <v>12.0</v>
      </c>
      <c r="T26" s="53">
        <v>12.0</v>
      </c>
      <c r="U26" s="53">
        <v>14.0</v>
      </c>
      <c r="V26" s="53">
        <v>13.0</v>
      </c>
      <c r="W26" s="51"/>
      <c r="X26" s="51"/>
      <c r="Y26" s="51"/>
      <c r="Z26" s="51"/>
    </row>
    <row r="27" ht="12.0" customHeight="1">
      <c r="A27" s="54" t="s">
        <v>59</v>
      </c>
      <c r="B27" s="55"/>
      <c r="C27" s="54">
        <v>10.0</v>
      </c>
      <c r="D27" s="54">
        <v>10.0</v>
      </c>
      <c r="E27" s="54">
        <v>10.0</v>
      </c>
      <c r="F27" s="54">
        <v>10.0</v>
      </c>
      <c r="G27" s="54">
        <v>10.0</v>
      </c>
      <c r="H27" s="54">
        <v>10.0</v>
      </c>
      <c r="I27" s="54">
        <v>10.0</v>
      </c>
      <c r="J27" s="54">
        <v>10.0</v>
      </c>
      <c r="K27" s="54">
        <v>11.0</v>
      </c>
      <c r="L27" s="54">
        <v>11.0</v>
      </c>
      <c r="M27" s="54">
        <v>11.0</v>
      </c>
      <c r="N27" s="54">
        <v>11.0</v>
      </c>
      <c r="O27" s="54">
        <v>12.0</v>
      </c>
      <c r="P27" s="54">
        <v>12.0</v>
      </c>
      <c r="Q27" s="54">
        <v>12.0</v>
      </c>
      <c r="R27" s="54">
        <v>12.0</v>
      </c>
      <c r="S27" s="54">
        <v>13.0</v>
      </c>
      <c r="T27" s="54">
        <v>13.0</v>
      </c>
      <c r="U27" s="54">
        <v>13.0</v>
      </c>
      <c r="V27" s="54">
        <v>13.0</v>
      </c>
      <c r="W27" s="54">
        <v>13.0</v>
      </c>
      <c r="X27" s="55"/>
      <c r="Y27" s="55"/>
      <c r="Z27" s="55"/>
    </row>
    <row r="28" ht="12.0" customHeight="1">
      <c r="A28" s="51"/>
      <c r="B28" s="51"/>
      <c r="C28" s="53">
        <v>15.0</v>
      </c>
      <c r="D28" s="53">
        <v>16.0</v>
      </c>
      <c r="E28" s="53">
        <v>16.0</v>
      </c>
      <c r="F28" s="53">
        <v>16.0</v>
      </c>
      <c r="G28" s="53">
        <v>16.0</v>
      </c>
      <c r="H28" s="53">
        <v>15.0</v>
      </c>
      <c r="I28" s="53">
        <v>17.0</v>
      </c>
      <c r="J28" s="53">
        <v>18.0</v>
      </c>
      <c r="K28" s="53">
        <v>15.0</v>
      </c>
      <c r="L28" s="53">
        <v>16.0</v>
      </c>
      <c r="M28" s="53">
        <v>17.0</v>
      </c>
      <c r="N28" s="53">
        <v>18.0</v>
      </c>
      <c r="O28" s="53">
        <v>12.0</v>
      </c>
      <c r="P28" s="53">
        <v>13.0</v>
      </c>
      <c r="Q28" s="53">
        <v>14.0</v>
      </c>
      <c r="R28" s="53">
        <v>15.0</v>
      </c>
      <c r="S28" s="53">
        <v>10.0</v>
      </c>
      <c r="T28" s="53">
        <v>11.0</v>
      </c>
      <c r="U28" s="53">
        <v>12.0</v>
      </c>
      <c r="V28" s="53">
        <v>13.0</v>
      </c>
      <c r="W28" s="53">
        <v>14.0</v>
      </c>
      <c r="X28" s="51"/>
      <c r="Y28" s="51"/>
      <c r="Z28" s="51"/>
    </row>
    <row r="29" ht="12.0" customHeight="1">
      <c r="A29" s="51"/>
      <c r="B29" s="51"/>
      <c r="C29" s="53">
        <v>15.0</v>
      </c>
      <c r="D29" s="53">
        <v>16.0</v>
      </c>
      <c r="E29" s="53">
        <v>16.0</v>
      </c>
      <c r="F29" s="53">
        <v>16.0</v>
      </c>
      <c r="G29" s="53">
        <v>16.0</v>
      </c>
      <c r="H29" s="53">
        <v>15.0</v>
      </c>
      <c r="I29" s="53">
        <v>17.0</v>
      </c>
      <c r="J29" s="53">
        <v>18.0</v>
      </c>
      <c r="K29" s="53">
        <v>15.0</v>
      </c>
      <c r="L29" s="53">
        <v>16.0</v>
      </c>
      <c r="M29" s="53">
        <v>17.0</v>
      </c>
      <c r="N29" s="53">
        <v>18.0</v>
      </c>
      <c r="O29" s="53">
        <v>12.0</v>
      </c>
      <c r="P29" s="53">
        <v>13.0</v>
      </c>
      <c r="Q29" s="53">
        <v>14.0</v>
      </c>
      <c r="R29" s="53">
        <v>15.0</v>
      </c>
      <c r="S29" s="53">
        <v>10.0</v>
      </c>
      <c r="T29" s="53">
        <v>11.0</v>
      </c>
      <c r="U29" s="53">
        <v>12.0</v>
      </c>
      <c r="V29" s="53">
        <v>13.0</v>
      </c>
      <c r="W29" s="51"/>
      <c r="X29" s="51"/>
      <c r="Y29" s="51"/>
      <c r="Z29" s="51"/>
    </row>
    <row r="30" ht="12.0" customHeight="1">
      <c r="A30" s="51"/>
      <c r="B30" s="51"/>
      <c r="C30" s="53">
        <v>15.0</v>
      </c>
      <c r="D30" s="53">
        <v>16.0</v>
      </c>
      <c r="E30" s="53">
        <v>16.0</v>
      </c>
      <c r="F30" s="53">
        <v>16.0</v>
      </c>
      <c r="G30" s="53">
        <v>16.0</v>
      </c>
      <c r="H30" s="53">
        <v>15.0</v>
      </c>
      <c r="I30" s="53">
        <v>17.0</v>
      </c>
      <c r="J30" s="53">
        <v>18.0</v>
      </c>
      <c r="K30" s="53">
        <v>15.0</v>
      </c>
      <c r="L30" s="53">
        <v>16.0</v>
      </c>
      <c r="M30" s="53">
        <v>17.0</v>
      </c>
      <c r="N30" s="53">
        <v>18.0</v>
      </c>
      <c r="O30" s="53">
        <v>12.0</v>
      </c>
      <c r="P30" s="53">
        <v>13.0</v>
      </c>
      <c r="Q30" s="53">
        <v>14.0</v>
      </c>
      <c r="R30" s="53">
        <v>15.0</v>
      </c>
      <c r="S30" s="53">
        <v>10.0</v>
      </c>
      <c r="T30" s="53">
        <v>11.0</v>
      </c>
      <c r="U30" s="53">
        <v>12.0</v>
      </c>
      <c r="V30" s="53">
        <v>13.0</v>
      </c>
      <c r="W30" s="51"/>
      <c r="X30" s="51"/>
      <c r="Y30" s="51"/>
      <c r="Z30" s="51"/>
    </row>
    <row r="31" ht="12.0" customHeight="1">
      <c r="A31" s="51"/>
      <c r="B31" s="51"/>
      <c r="C31" s="51"/>
      <c r="D31" s="51"/>
      <c r="E31" s="53">
        <v>16.0</v>
      </c>
      <c r="F31" s="51"/>
      <c r="G31" s="51"/>
      <c r="H31" s="51"/>
      <c r="I31" s="51"/>
      <c r="J31" s="53">
        <v>18.0</v>
      </c>
      <c r="K31" s="53">
        <v>15.0</v>
      </c>
      <c r="L31" s="53">
        <v>16.0</v>
      </c>
      <c r="M31" s="53">
        <v>17.0</v>
      </c>
      <c r="N31" s="53">
        <v>18.0</v>
      </c>
      <c r="O31" s="53">
        <v>12.0</v>
      </c>
      <c r="P31" s="53">
        <v>13.0</v>
      </c>
      <c r="Q31" s="53">
        <v>14.0</v>
      </c>
      <c r="R31" s="53">
        <v>15.0</v>
      </c>
      <c r="S31" s="53">
        <v>10.0</v>
      </c>
      <c r="T31" s="53">
        <v>11.0</v>
      </c>
      <c r="U31" s="53">
        <v>12.0</v>
      </c>
      <c r="V31" s="53">
        <v>13.0</v>
      </c>
      <c r="W31" s="51"/>
      <c r="X31" s="51"/>
      <c r="Y31" s="51"/>
      <c r="Z31" s="51"/>
    </row>
    <row r="32">
      <c r="T32" s="59" t="s">
        <v>60</v>
      </c>
    </row>
    <row r="33">
      <c r="A33" s="15" t="s">
        <v>26</v>
      </c>
      <c r="B33" s="60">
        <v>20.6</v>
      </c>
    </row>
    <row r="34">
      <c r="A34" s="15" t="s">
        <v>37</v>
      </c>
      <c r="B34" s="60">
        <v>10.0</v>
      </c>
    </row>
    <row r="35">
      <c r="A35" s="15" t="s">
        <v>36</v>
      </c>
      <c r="B35" s="43">
        <f>ROUND(IF(B34&lt;10,AVERAGE(B33/(1.0278-0.0278*B34),B33*B34^0.1),AVERAGE(B33*(1+0.0333*B34),B33*B34^0.1)),1)</f>
        <v>26.7</v>
      </c>
    </row>
    <row r="37">
      <c r="A37" s="61" t="s">
        <v>39</v>
      </c>
      <c r="B37" s="61">
        <v>8.0</v>
      </c>
      <c r="C37" s="62" t="str">
        <f t="shared" ref="C37:Y37" si="1">IF(C4&gt;0,ROUND(IF(C$4&lt;10,AVERAGE((C$3+$B37)/(1.0278-0.0278*C$4),(C$3+$B37)*C$4^0.1),AVERAGE((C$3+$B37)*(1+0.0333*C$4),(C$3+$B37)*C$4^0.1)),1),"")</f>
        <v/>
      </c>
      <c r="D37" s="62" t="str">
        <f t="shared" si="1"/>
        <v/>
      </c>
      <c r="E37" s="62">
        <f t="shared" si="1"/>
        <v>57.3</v>
      </c>
      <c r="F37" s="62">
        <f t="shared" si="1"/>
        <v>60.3</v>
      </c>
      <c r="G37" s="62">
        <f t="shared" si="1"/>
        <v>63.3</v>
      </c>
      <c r="H37" s="62">
        <f t="shared" si="1"/>
        <v>60.4</v>
      </c>
      <c r="I37" s="62">
        <f t="shared" si="1"/>
        <v>61.8</v>
      </c>
      <c r="J37" s="62">
        <f t="shared" si="1"/>
        <v>63.2</v>
      </c>
      <c r="K37" s="62">
        <f t="shared" si="1"/>
        <v>64.6</v>
      </c>
      <c r="L37" s="62">
        <f t="shared" si="1"/>
        <v>66</v>
      </c>
      <c r="M37" s="62">
        <f t="shared" si="1"/>
        <v>67.5</v>
      </c>
      <c r="N37" s="62">
        <f t="shared" si="1"/>
        <v>68.9</v>
      </c>
      <c r="O37" s="62">
        <f t="shared" si="1"/>
        <v>70.3</v>
      </c>
      <c r="P37" s="62">
        <f t="shared" si="1"/>
        <v>68.4</v>
      </c>
      <c r="Q37" s="62">
        <f t="shared" si="1"/>
        <v>69.7</v>
      </c>
      <c r="R37" s="62">
        <f t="shared" si="1"/>
        <v>71.1</v>
      </c>
      <c r="S37" s="62">
        <f t="shared" si="1"/>
        <v>72.4</v>
      </c>
      <c r="T37" s="62">
        <f t="shared" si="1"/>
        <v>73.7</v>
      </c>
      <c r="U37" s="62">
        <f t="shared" si="1"/>
        <v>75.1</v>
      </c>
      <c r="V37" s="62">
        <f t="shared" si="1"/>
        <v>76.4</v>
      </c>
      <c r="W37" s="62">
        <f t="shared" si="1"/>
        <v>77.8</v>
      </c>
      <c r="X37" s="62" t="str">
        <f t="shared" si="1"/>
        <v/>
      </c>
      <c r="Y37" s="62" t="str">
        <f t="shared" si="1"/>
        <v/>
      </c>
      <c r="Z37" s="63"/>
    </row>
    <row r="38">
      <c r="A38" s="61" t="s">
        <v>55</v>
      </c>
      <c r="B38" s="61">
        <v>4.6</v>
      </c>
      <c r="C38" s="62" t="str">
        <f t="shared" ref="C38:Y38" si="2">IF(C8&gt;0,ROUND(IF(C$8&lt;10,AVERAGE((C$7+$B38)/(1.0278-0.0278*C$8),(C$7+$B38)*C$8^0.1),AVERAGE((C$7+$B38)*(1+0.0333*C$8),(C$7+$B38)*C$8^0.1)),1),"")</f>
        <v/>
      </c>
      <c r="D38" s="62" t="str">
        <f t="shared" si="2"/>
        <v/>
      </c>
      <c r="E38" s="62">
        <f t="shared" si="2"/>
        <v>19.6</v>
      </c>
      <c r="F38" s="62">
        <f t="shared" si="2"/>
        <v>21.2</v>
      </c>
      <c r="G38" s="62">
        <f t="shared" si="2"/>
        <v>21.9</v>
      </c>
      <c r="H38" s="62">
        <f t="shared" si="2"/>
        <v>21.6</v>
      </c>
      <c r="I38" s="62">
        <f t="shared" si="2"/>
        <v>23.3</v>
      </c>
      <c r="J38" s="62">
        <f t="shared" si="2"/>
        <v>24</v>
      </c>
      <c r="K38" s="62">
        <f t="shared" si="2"/>
        <v>24.7</v>
      </c>
      <c r="L38" s="62">
        <f t="shared" si="2"/>
        <v>25.4</v>
      </c>
      <c r="M38" s="62">
        <f t="shared" si="2"/>
        <v>26.1</v>
      </c>
      <c r="N38" s="62">
        <f t="shared" si="2"/>
        <v>26.1</v>
      </c>
      <c r="O38" s="62">
        <f t="shared" si="2"/>
        <v>26.1</v>
      </c>
      <c r="P38" s="62">
        <f t="shared" si="2"/>
        <v>26.1</v>
      </c>
      <c r="Q38" s="62">
        <f t="shared" si="2"/>
        <v>25.6</v>
      </c>
      <c r="R38" s="62">
        <f t="shared" si="2"/>
        <v>26.3</v>
      </c>
      <c r="S38" s="62">
        <f t="shared" si="2"/>
        <v>26.3</v>
      </c>
      <c r="T38" s="62">
        <f t="shared" si="2"/>
        <v>26.3</v>
      </c>
      <c r="U38" s="62">
        <f t="shared" si="2"/>
        <v>26.3</v>
      </c>
      <c r="V38" s="62">
        <f t="shared" si="2"/>
        <v>26.3</v>
      </c>
      <c r="W38" s="62">
        <f t="shared" si="2"/>
        <v>26.3</v>
      </c>
      <c r="X38" s="62" t="str">
        <f t="shared" si="2"/>
        <v/>
      </c>
      <c r="Y38" s="62" t="str">
        <f t="shared" si="2"/>
        <v/>
      </c>
      <c r="Z38" s="63"/>
    </row>
    <row r="39">
      <c r="A39" s="61" t="s">
        <v>42</v>
      </c>
      <c r="B39" s="61"/>
      <c r="C39" s="62" t="str">
        <f t="shared" ref="C39:Y39" si="3">IF(C12&gt;0,"+","")</f>
        <v/>
      </c>
      <c r="D39" s="62" t="str">
        <f t="shared" si="3"/>
        <v/>
      </c>
      <c r="E39" s="62" t="str">
        <f t="shared" si="3"/>
        <v/>
      </c>
      <c r="F39" s="62" t="str">
        <f t="shared" si="3"/>
        <v/>
      </c>
      <c r="G39" s="62" t="str">
        <f t="shared" si="3"/>
        <v/>
      </c>
      <c r="H39" s="62" t="str">
        <f t="shared" si="3"/>
        <v/>
      </c>
      <c r="I39" s="62" t="str">
        <f t="shared" si="3"/>
        <v/>
      </c>
      <c r="J39" s="62" t="str">
        <f t="shared" si="3"/>
        <v>+</v>
      </c>
      <c r="K39" s="62" t="str">
        <f t="shared" si="3"/>
        <v>+</v>
      </c>
      <c r="L39" s="62" t="str">
        <f t="shared" si="3"/>
        <v>+</v>
      </c>
      <c r="M39" s="62" t="str">
        <f t="shared" si="3"/>
        <v/>
      </c>
      <c r="N39" s="62" t="str">
        <f t="shared" si="3"/>
        <v>+</v>
      </c>
      <c r="O39" s="62" t="str">
        <f t="shared" si="3"/>
        <v>+</v>
      </c>
      <c r="P39" s="62" t="str">
        <f t="shared" si="3"/>
        <v>+</v>
      </c>
      <c r="Q39" s="62" t="str">
        <f t="shared" si="3"/>
        <v>+</v>
      </c>
      <c r="R39" s="62" t="str">
        <f t="shared" si="3"/>
        <v>+</v>
      </c>
      <c r="S39" s="62" t="str">
        <f t="shared" si="3"/>
        <v>+</v>
      </c>
      <c r="T39" s="62" t="str">
        <f t="shared" si="3"/>
        <v>+</v>
      </c>
      <c r="U39" s="62" t="str">
        <f t="shared" si="3"/>
        <v>+</v>
      </c>
      <c r="V39" s="62" t="str">
        <f t="shared" si="3"/>
        <v>+</v>
      </c>
      <c r="W39" s="62" t="str">
        <f t="shared" si="3"/>
        <v/>
      </c>
      <c r="X39" s="62" t="str">
        <f t="shared" si="3"/>
        <v/>
      </c>
      <c r="Y39" s="62" t="str">
        <f t="shared" si="3"/>
        <v/>
      </c>
      <c r="Z39" s="63"/>
    </row>
    <row r="40">
      <c r="A40" s="61" t="s">
        <v>56</v>
      </c>
      <c r="B40" s="61">
        <v>8.0</v>
      </c>
      <c r="C40" s="64">
        <f t="shared" ref="C40:Y40" si="4">IF(C16&gt;0,ROUND(IF(C$16&lt;10,AVERAGE((C$15+$B40)/(1.0278-0.0278*C$16),(C$15+$B40)*C$16^0.1),AVERAGE((C$15+$B40)*(1+0.0333*C$16),(C$15+$B40)*C$16^0.1)),1),"")</f>
        <v>36.3</v>
      </c>
      <c r="D40" s="64">
        <f t="shared" si="4"/>
        <v>37.6</v>
      </c>
      <c r="E40" s="64">
        <f t="shared" si="4"/>
        <v>38.9</v>
      </c>
      <c r="F40" s="64">
        <f t="shared" si="4"/>
        <v>40.2</v>
      </c>
      <c r="G40" s="64">
        <f t="shared" si="4"/>
        <v>41.5</v>
      </c>
      <c r="H40" s="64">
        <f t="shared" si="4"/>
        <v>42.8</v>
      </c>
      <c r="I40" s="64">
        <f t="shared" si="4"/>
        <v>44.1</v>
      </c>
      <c r="J40" s="64">
        <f t="shared" si="4"/>
        <v>45.4</v>
      </c>
      <c r="K40" s="64">
        <f t="shared" si="4"/>
        <v>46.7</v>
      </c>
      <c r="L40" s="64">
        <f t="shared" si="4"/>
        <v>48</v>
      </c>
      <c r="M40" s="64">
        <f t="shared" si="4"/>
        <v>49.2</v>
      </c>
      <c r="N40" s="64">
        <f t="shared" si="4"/>
        <v>50.1</v>
      </c>
      <c r="O40" s="64">
        <f t="shared" si="4"/>
        <v>51</v>
      </c>
      <c r="P40" s="64">
        <f t="shared" si="4"/>
        <v>51.8</v>
      </c>
      <c r="Q40" s="64">
        <f t="shared" si="4"/>
        <v>52.6</v>
      </c>
      <c r="R40" s="64">
        <f t="shared" si="4"/>
        <v>59</v>
      </c>
      <c r="S40" s="64">
        <f t="shared" si="4"/>
        <v>57.7</v>
      </c>
      <c r="T40" s="65">
        <f t="shared" si="4"/>
        <v>59</v>
      </c>
      <c r="U40" s="64" t="str">
        <f t="shared" si="4"/>
        <v/>
      </c>
      <c r="V40" s="64">
        <f t="shared" si="4"/>
        <v>51</v>
      </c>
      <c r="W40" s="64">
        <f t="shared" si="4"/>
        <v>50.5</v>
      </c>
      <c r="X40" s="64">
        <f t="shared" si="4"/>
        <v>52.3</v>
      </c>
      <c r="Y40" s="64" t="str">
        <f t="shared" si="4"/>
        <v/>
      </c>
      <c r="Z40" s="63"/>
    </row>
    <row r="41">
      <c r="A41" s="61" t="s">
        <v>57</v>
      </c>
      <c r="B41" s="66"/>
      <c r="C41" s="62">
        <f t="shared" ref="C41:Y41" si="5">IF(C20&gt;0,ROUND(IF(C$20&lt;10,AVERAGE(C$19/(1.0278-0.0278*C$20),C$19*C$20^0.1),AVERAGE(C$19*(1+0.0333*C$20),C$19*C$20^0.1)),2),"")</f>
        <v>6.48</v>
      </c>
      <c r="D41" s="62">
        <f t="shared" si="5"/>
        <v>6.59</v>
      </c>
      <c r="E41" s="62">
        <f t="shared" si="5"/>
        <v>6.7</v>
      </c>
      <c r="F41" s="62">
        <f t="shared" si="5"/>
        <v>6.81</v>
      </c>
      <c r="G41" s="62">
        <f t="shared" si="5"/>
        <v>6.92</v>
      </c>
      <c r="H41" s="62">
        <f t="shared" si="5"/>
        <v>7.03</v>
      </c>
      <c r="I41" s="62">
        <f t="shared" si="5"/>
        <v>7.13</v>
      </c>
      <c r="J41" s="62">
        <f t="shared" si="5"/>
        <v>7.23</v>
      </c>
      <c r="K41" s="62">
        <f t="shared" si="5"/>
        <v>7.34</v>
      </c>
      <c r="L41" s="62">
        <f t="shared" si="5"/>
        <v>7.44</v>
      </c>
      <c r="M41" s="62">
        <f t="shared" si="5"/>
        <v>7.54</v>
      </c>
      <c r="N41" s="62">
        <f t="shared" si="5"/>
        <v>7.37</v>
      </c>
      <c r="O41" s="62">
        <f t="shared" si="5"/>
        <v>7.49</v>
      </c>
      <c r="P41" s="62">
        <f t="shared" si="5"/>
        <v>7.61</v>
      </c>
      <c r="Q41" s="62">
        <f t="shared" si="5"/>
        <v>7.73</v>
      </c>
      <c r="R41" s="62">
        <f t="shared" si="5"/>
        <v>7.84</v>
      </c>
      <c r="S41" s="62">
        <f t="shared" si="5"/>
        <v>8.05</v>
      </c>
      <c r="T41" s="62">
        <f t="shared" si="5"/>
        <v>8.18</v>
      </c>
      <c r="U41" s="62">
        <f t="shared" si="5"/>
        <v>8.3</v>
      </c>
      <c r="V41" s="62">
        <f t="shared" si="5"/>
        <v>8.43</v>
      </c>
      <c r="W41" s="62">
        <f t="shared" si="5"/>
        <v>8.56</v>
      </c>
      <c r="X41" s="62" t="str">
        <f t="shared" si="5"/>
        <v/>
      </c>
      <c r="Y41" s="62" t="str">
        <f t="shared" si="5"/>
        <v/>
      </c>
      <c r="Z41" s="63"/>
    </row>
    <row r="42">
      <c r="A42" s="61" t="s">
        <v>58</v>
      </c>
      <c r="B42" s="66"/>
      <c r="C42" s="62">
        <f t="shared" ref="C42:Y42" si="6">IF(C24&gt;0,ROUND(IF(C$24&lt;10,AVERAGE(C$23/(1.0278-0.0278*C$24),C$23*C$24^0.1),AVERAGE(C$23*(1+0.0333*C$24),C$23*C$24^0.1)),2),"")</f>
        <v>7.03</v>
      </c>
      <c r="D42" s="62">
        <f t="shared" si="6"/>
        <v>7.13</v>
      </c>
      <c r="E42" s="62">
        <f t="shared" si="6"/>
        <v>7.13</v>
      </c>
      <c r="F42" s="62">
        <f t="shared" si="6"/>
        <v>7.13</v>
      </c>
      <c r="G42" s="62">
        <f t="shared" si="6"/>
        <v>7.23</v>
      </c>
      <c r="H42" s="62">
        <f t="shared" si="6"/>
        <v>7.03</v>
      </c>
      <c r="I42" s="62">
        <f t="shared" si="6"/>
        <v>7.23</v>
      </c>
      <c r="J42" s="62">
        <f t="shared" si="6"/>
        <v>7.23</v>
      </c>
      <c r="K42" s="62">
        <f t="shared" si="6"/>
        <v>7.34</v>
      </c>
      <c r="L42" s="62">
        <f t="shared" si="6"/>
        <v>7.34</v>
      </c>
      <c r="M42" s="62">
        <f t="shared" si="6"/>
        <v>7.34</v>
      </c>
      <c r="N42" s="62">
        <f t="shared" si="6"/>
        <v>7.78</v>
      </c>
      <c r="O42" s="62">
        <f t="shared" si="6"/>
        <v>7.91</v>
      </c>
      <c r="P42" s="62">
        <f t="shared" si="6"/>
        <v>8.05</v>
      </c>
      <c r="Q42" s="62">
        <f t="shared" si="6"/>
        <v>8.18</v>
      </c>
      <c r="R42" s="62">
        <f t="shared" si="6"/>
        <v>8.18</v>
      </c>
      <c r="S42" s="62">
        <f t="shared" si="6"/>
        <v>8.3</v>
      </c>
      <c r="T42" s="62">
        <f t="shared" si="6"/>
        <v>8.3</v>
      </c>
      <c r="U42" s="62">
        <f t="shared" si="6"/>
        <v>8.3</v>
      </c>
      <c r="V42" s="62">
        <f t="shared" si="6"/>
        <v>8.43</v>
      </c>
      <c r="W42" s="62">
        <f t="shared" si="6"/>
        <v>8.43</v>
      </c>
      <c r="X42" s="62" t="str">
        <f t="shared" si="6"/>
        <v/>
      </c>
      <c r="Y42" s="62" t="str">
        <f t="shared" si="6"/>
        <v/>
      </c>
      <c r="Z42" s="63"/>
    </row>
    <row r="43">
      <c r="A43" s="61" t="s">
        <v>59</v>
      </c>
      <c r="B43" s="66"/>
      <c r="C43" s="62">
        <f t="shared" ref="C43:Y43" si="7">IF(C28&gt;0,ROUND(IF(C$28&lt;10,AVERAGE(C$27/(1.0278-0.0278*C$28),C$27*C$28^0.1),AVERAGE(C$27*(1+0.0333*C$28),C$27*C$28^0.1)),2),"")</f>
        <v>14.05</v>
      </c>
      <c r="D43" s="62">
        <f t="shared" si="7"/>
        <v>14.26</v>
      </c>
      <c r="E43" s="62">
        <f t="shared" si="7"/>
        <v>14.26</v>
      </c>
      <c r="F43" s="62">
        <f t="shared" si="7"/>
        <v>14.26</v>
      </c>
      <c r="G43" s="62">
        <f t="shared" si="7"/>
        <v>14.26</v>
      </c>
      <c r="H43" s="62">
        <f t="shared" si="7"/>
        <v>14.05</v>
      </c>
      <c r="I43" s="62">
        <f t="shared" si="7"/>
        <v>14.47</v>
      </c>
      <c r="J43" s="62">
        <f t="shared" si="7"/>
        <v>14.67</v>
      </c>
      <c r="K43" s="62">
        <f t="shared" si="7"/>
        <v>15.46</v>
      </c>
      <c r="L43" s="62">
        <f t="shared" si="7"/>
        <v>15.69</v>
      </c>
      <c r="M43" s="62">
        <f t="shared" si="7"/>
        <v>15.91</v>
      </c>
      <c r="N43" s="62">
        <f t="shared" si="7"/>
        <v>16.14</v>
      </c>
      <c r="O43" s="62">
        <f t="shared" si="7"/>
        <v>16.09</v>
      </c>
      <c r="P43" s="62">
        <f t="shared" si="7"/>
        <v>16.35</v>
      </c>
      <c r="Q43" s="62">
        <f t="shared" si="7"/>
        <v>16.61</v>
      </c>
      <c r="R43" s="62">
        <f t="shared" si="7"/>
        <v>16.86</v>
      </c>
      <c r="S43" s="62">
        <f t="shared" si="7"/>
        <v>16.85</v>
      </c>
      <c r="T43" s="62">
        <f t="shared" si="7"/>
        <v>17.14</v>
      </c>
      <c r="U43" s="62">
        <f t="shared" si="7"/>
        <v>17.43</v>
      </c>
      <c r="V43" s="62">
        <f t="shared" si="7"/>
        <v>17.71</v>
      </c>
      <c r="W43" s="62">
        <f t="shared" si="7"/>
        <v>17.99</v>
      </c>
      <c r="X43" s="62" t="str">
        <f t="shared" si="7"/>
        <v/>
      </c>
      <c r="Y43" s="62" t="str">
        <f t="shared" si="7"/>
        <v/>
      </c>
      <c r="Z43" s="6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3" t="s">
        <v>61</v>
      </c>
      <c r="C1" s="51"/>
      <c r="D1" s="52">
        <v>45740.0</v>
      </c>
      <c r="E1" s="52">
        <v>45742.0</v>
      </c>
      <c r="F1" s="52">
        <v>45748.0</v>
      </c>
      <c r="G1" s="52">
        <v>45750.0</v>
      </c>
      <c r="H1" s="52">
        <v>45752.0</v>
      </c>
      <c r="I1" s="52">
        <v>45754.0</v>
      </c>
      <c r="J1" s="52">
        <v>45762.0</v>
      </c>
      <c r="K1" s="52">
        <v>45765.0</v>
      </c>
      <c r="L1" s="52">
        <v>45767.0</v>
      </c>
      <c r="M1" s="52">
        <v>45769.0</v>
      </c>
      <c r="N1" s="52">
        <v>45771.0</v>
      </c>
      <c r="O1" s="52">
        <v>45773.0</v>
      </c>
      <c r="P1" s="52">
        <v>45775.0</v>
      </c>
      <c r="Q1" s="52">
        <v>45777.0</v>
      </c>
      <c r="R1" s="52">
        <v>45779.0</v>
      </c>
      <c r="S1" s="52">
        <v>45781.0</v>
      </c>
      <c r="T1" s="52">
        <v>45789.0</v>
      </c>
      <c r="U1" s="52">
        <v>45797.0</v>
      </c>
      <c r="V1" s="52">
        <v>45800.0</v>
      </c>
      <c r="W1" s="52">
        <v>45803.0</v>
      </c>
      <c r="X1" s="48">
        <v>45808.0</v>
      </c>
      <c r="Y1" s="48">
        <v>45810.0</v>
      </c>
      <c r="Z1" s="48">
        <v>45817.0</v>
      </c>
      <c r="AA1" s="52">
        <v>45824.0</v>
      </c>
      <c r="AB1" s="48">
        <v>45831.0</v>
      </c>
      <c r="AC1" s="48">
        <v>45838.0</v>
      </c>
      <c r="AD1" s="48">
        <v>45845.0</v>
      </c>
      <c r="AE1" s="48">
        <v>45852.0</v>
      </c>
      <c r="AF1" s="48">
        <v>45859.0</v>
      </c>
      <c r="AG1" s="52">
        <v>45866.0</v>
      </c>
      <c r="AH1" s="52">
        <v>45873.0</v>
      </c>
      <c r="AI1" s="52">
        <v>45880.0</v>
      </c>
      <c r="AJ1" s="52">
        <v>45887.0</v>
      </c>
      <c r="AK1" s="52">
        <v>45894.0</v>
      </c>
      <c r="AL1" s="52">
        <v>45901.0</v>
      </c>
      <c r="AM1" s="52">
        <v>45922.0</v>
      </c>
      <c r="AN1" s="52">
        <v>45929.0</v>
      </c>
      <c r="AO1" s="52">
        <v>45943.0</v>
      </c>
      <c r="AP1" s="53" t="s">
        <v>62</v>
      </c>
      <c r="AQ1" s="53" t="s">
        <v>63</v>
      </c>
    </row>
    <row r="2" ht="12.0" customHeight="1">
      <c r="A2" s="51"/>
      <c r="B2" s="51"/>
      <c r="C2" s="51"/>
      <c r="D2" s="53">
        <v>65.5</v>
      </c>
      <c r="E2" s="53">
        <v>65.7</v>
      </c>
      <c r="F2" s="53">
        <v>65.0</v>
      </c>
      <c r="G2" s="53">
        <v>64.5</v>
      </c>
      <c r="H2" s="53">
        <v>65.1</v>
      </c>
      <c r="I2" s="53">
        <v>65.0</v>
      </c>
      <c r="J2" s="53">
        <v>64.7</v>
      </c>
      <c r="K2" s="53">
        <v>65.0</v>
      </c>
      <c r="L2" s="53">
        <v>65.8</v>
      </c>
      <c r="M2" s="53">
        <v>65.8</v>
      </c>
      <c r="N2" s="53">
        <v>64.6</v>
      </c>
      <c r="O2" s="53">
        <v>66.2</v>
      </c>
      <c r="P2" s="53">
        <v>65.8</v>
      </c>
      <c r="Q2" s="53">
        <v>65.2</v>
      </c>
      <c r="R2" s="53">
        <v>65.2</v>
      </c>
      <c r="S2" s="53">
        <v>65.5</v>
      </c>
      <c r="T2" s="53">
        <v>63.8</v>
      </c>
      <c r="U2" s="53">
        <v>65.9</v>
      </c>
      <c r="V2" s="53">
        <v>65.6</v>
      </c>
      <c r="W2" s="53">
        <v>66.2</v>
      </c>
      <c r="X2" s="53">
        <v>66.2</v>
      </c>
      <c r="Y2" s="53">
        <v>66.6</v>
      </c>
      <c r="Z2" s="53">
        <v>67.9</v>
      </c>
      <c r="AA2" s="53">
        <v>67.0</v>
      </c>
      <c r="AB2" s="53">
        <v>66.7</v>
      </c>
      <c r="AC2" s="53">
        <v>65.5</v>
      </c>
      <c r="AD2" s="53">
        <v>66.3</v>
      </c>
      <c r="AE2" s="53">
        <v>66.3</v>
      </c>
      <c r="AF2" s="53">
        <v>66.8</v>
      </c>
      <c r="AG2" s="53">
        <v>65.9</v>
      </c>
      <c r="AH2" s="53">
        <v>67.4</v>
      </c>
      <c r="AI2" s="53">
        <v>67.9</v>
      </c>
      <c r="AJ2" s="53">
        <v>68.3</v>
      </c>
      <c r="AK2" s="53">
        <v>66.6</v>
      </c>
      <c r="AL2" s="53">
        <v>67.2</v>
      </c>
      <c r="AM2" s="53">
        <v>67.4</v>
      </c>
      <c r="AN2" s="53">
        <v>66.8</v>
      </c>
      <c r="AO2" s="53">
        <v>68.6</v>
      </c>
      <c r="AP2" s="51"/>
      <c r="AQ2" s="51"/>
    </row>
    <row r="3" ht="12.0" customHeight="1">
      <c r="A3" s="54" t="s">
        <v>39</v>
      </c>
      <c r="B3" s="54" t="s">
        <v>64</v>
      </c>
      <c r="C3" s="54">
        <v>8.0</v>
      </c>
      <c r="D3" s="55"/>
      <c r="E3" s="55"/>
      <c r="F3" s="54">
        <v>30.0</v>
      </c>
      <c r="G3" s="54">
        <v>32.0</v>
      </c>
      <c r="H3" s="54">
        <v>34.0</v>
      </c>
      <c r="I3" s="54">
        <v>35.0</v>
      </c>
      <c r="J3" s="54">
        <v>36.0</v>
      </c>
      <c r="K3" s="54">
        <v>37.0</v>
      </c>
      <c r="L3" s="54">
        <v>38.0</v>
      </c>
      <c r="M3" s="54">
        <v>39.0</v>
      </c>
      <c r="N3" s="54">
        <v>40.0</v>
      </c>
      <c r="O3" s="54">
        <v>41.0</v>
      </c>
      <c r="P3" s="54">
        <v>42.0</v>
      </c>
      <c r="Q3" s="54">
        <v>43.0</v>
      </c>
      <c r="R3" s="54">
        <v>44.0</v>
      </c>
      <c r="S3" s="54">
        <v>45.0</v>
      </c>
      <c r="T3" s="54">
        <v>46.0</v>
      </c>
      <c r="U3" s="54">
        <v>47.0</v>
      </c>
      <c r="V3" s="54">
        <v>48.0</v>
      </c>
      <c r="W3" s="54">
        <v>49.0</v>
      </c>
      <c r="X3" s="54">
        <v>50.0</v>
      </c>
      <c r="Y3" s="54">
        <v>50.0</v>
      </c>
      <c r="Z3" s="54">
        <v>50.0</v>
      </c>
      <c r="AA3" s="54">
        <v>50.0</v>
      </c>
      <c r="AB3" s="54">
        <v>50.0</v>
      </c>
      <c r="AC3" s="54">
        <v>50.0</v>
      </c>
      <c r="AD3" s="54">
        <v>50.0</v>
      </c>
      <c r="AE3" s="54">
        <v>50.0</v>
      </c>
      <c r="AF3" s="55"/>
      <c r="AG3" s="55"/>
      <c r="AH3" s="54">
        <v>40.0</v>
      </c>
      <c r="AI3" s="54">
        <v>50.0</v>
      </c>
      <c r="AJ3" s="54">
        <v>50.0</v>
      </c>
      <c r="AK3" s="54">
        <v>50.0</v>
      </c>
      <c r="AL3" s="54">
        <v>60.0</v>
      </c>
      <c r="AM3" s="54">
        <v>60.0</v>
      </c>
      <c r="AN3" s="54">
        <v>60.0</v>
      </c>
      <c r="AO3" s="54">
        <v>50.0</v>
      </c>
      <c r="AP3" s="54"/>
      <c r="AQ3" s="54">
        <v>60.0</v>
      </c>
    </row>
    <row r="4" ht="12.0" customHeight="1">
      <c r="A4" s="51"/>
      <c r="B4" s="51"/>
      <c r="C4" s="51"/>
      <c r="D4" s="51"/>
      <c r="E4" s="51"/>
      <c r="F4" s="53">
        <v>20.0</v>
      </c>
      <c r="G4" s="53">
        <v>20.0</v>
      </c>
      <c r="H4" s="53">
        <v>20.0</v>
      </c>
      <c r="I4" s="53">
        <v>15.0</v>
      </c>
      <c r="J4" s="53">
        <v>15.0</v>
      </c>
      <c r="K4" s="53">
        <v>15.0</v>
      </c>
      <c r="L4" s="53">
        <v>15.0</v>
      </c>
      <c r="M4" s="53">
        <v>15.0</v>
      </c>
      <c r="N4" s="53">
        <v>15.0</v>
      </c>
      <c r="O4" s="53">
        <v>15.0</v>
      </c>
      <c r="P4" s="53">
        <v>15.0</v>
      </c>
      <c r="Q4" s="53">
        <v>12.0</v>
      </c>
      <c r="R4" s="53">
        <v>12.0</v>
      </c>
      <c r="S4" s="53">
        <v>12.0</v>
      </c>
      <c r="T4" s="53">
        <v>12.0</v>
      </c>
      <c r="U4" s="53">
        <v>12.0</v>
      </c>
      <c r="V4" s="53">
        <v>12.0</v>
      </c>
      <c r="W4" s="53">
        <v>12.0</v>
      </c>
      <c r="X4" s="53">
        <v>12.0</v>
      </c>
      <c r="Y4" s="3">
        <v>13.0</v>
      </c>
      <c r="Z4" s="3">
        <v>14.0</v>
      </c>
      <c r="AA4" s="3">
        <v>15.0</v>
      </c>
      <c r="AB4" s="3">
        <v>15.0</v>
      </c>
      <c r="AC4" s="3">
        <v>15.0</v>
      </c>
      <c r="AD4" s="3">
        <v>15.0</v>
      </c>
      <c r="AE4" s="3">
        <v>15.0</v>
      </c>
      <c r="AH4" s="3">
        <v>20.0</v>
      </c>
      <c r="AI4" s="3">
        <v>10.0</v>
      </c>
      <c r="AJ4" s="3">
        <v>8.0</v>
      </c>
      <c r="AK4" s="3">
        <v>12.0</v>
      </c>
      <c r="AL4" s="3">
        <v>8.0</v>
      </c>
      <c r="AM4" s="3">
        <v>10.0</v>
      </c>
      <c r="AN4" s="3">
        <v>11.0</v>
      </c>
      <c r="AO4" s="3">
        <v>15.0</v>
      </c>
    </row>
    <row r="5" ht="12.0" customHeight="1">
      <c r="A5" s="51"/>
      <c r="B5" s="51"/>
      <c r="C5" s="51"/>
      <c r="D5" s="51"/>
      <c r="E5" s="51"/>
      <c r="F5" s="53">
        <v>20.0</v>
      </c>
      <c r="G5" s="53">
        <v>20.0</v>
      </c>
      <c r="H5" s="53">
        <v>20.0</v>
      </c>
      <c r="I5" s="53">
        <v>15.0</v>
      </c>
      <c r="J5" s="53">
        <v>15.0</v>
      </c>
      <c r="K5" s="53">
        <v>15.0</v>
      </c>
      <c r="L5" s="53">
        <v>15.0</v>
      </c>
      <c r="M5" s="53">
        <v>15.0</v>
      </c>
      <c r="N5" s="53">
        <v>15.0</v>
      </c>
      <c r="O5" s="53">
        <v>15.0</v>
      </c>
      <c r="P5" s="53">
        <v>15.0</v>
      </c>
      <c r="Q5" s="53">
        <v>12.0</v>
      </c>
      <c r="R5" s="53">
        <v>12.0</v>
      </c>
      <c r="S5" s="53">
        <v>12.0</v>
      </c>
      <c r="T5" s="53">
        <v>12.0</v>
      </c>
      <c r="U5" s="53">
        <v>12.0</v>
      </c>
      <c r="V5" s="53">
        <v>12.0</v>
      </c>
      <c r="W5" s="53">
        <v>12.0</v>
      </c>
      <c r="X5" s="53">
        <v>12.0</v>
      </c>
      <c r="Y5" s="3">
        <v>13.0</v>
      </c>
      <c r="Z5" s="3">
        <v>14.0</v>
      </c>
      <c r="AA5" s="3">
        <v>15.0</v>
      </c>
      <c r="AB5" s="3">
        <v>15.0</v>
      </c>
      <c r="AC5" s="3">
        <v>15.0</v>
      </c>
      <c r="AD5" s="3">
        <v>15.0</v>
      </c>
      <c r="AE5" s="3">
        <v>15.0</v>
      </c>
      <c r="AH5" s="3">
        <v>20.0</v>
      </c>
      <c r="AI5" s="3">
        <v>10.0</v>
      </c>
      <c r="AJ5" s="3">
        <v>8.0</v>
      </c>
      <c r="AK5" s="3">
        <v>12.0</v>
      </c>
      <c r="AL5" s="3">
        <v>8.0</v>
      </c>
      <c r="AM5" s="3">
        <v>10.0</v>
      </c>
      <c r="AN5" s="3">
        <v>11.0</v>
      </c>
      <c r="AO5" s="3">
        <v>15.0</v>
      </c>
    </row>
    <row r="6" ht="12.0" customHeight="1">
      <c r="A6" s="51"/>
      <c r="B6" s="51"/>
      <c r="C6" s="51"/>
      <c r="D6" s="51"/>
      <c r="E6" s="51"/>
      <c r="F6" s="53">
        <v>20.0</v>
      </c>
      <c r="G6" s="53">
        <v>20.0</v>
      </c>
      <c r="H6" s="53">
        <v>20.0</v>
      </c>
      <c r="I6" s="53">
        <v>15.0</v>
      </c>
      <c r="J6" s="53">
        <v>15.0</v>
      </c>
      <c r="K6" s="53">
        <v>15.0</v>
      </c>
      <c r="L6" s="53">
        <v>15.0</v>
      </c>
      <c r="M6" s="53">
        <v>15.0</v>
      </c>
      <c r="N6" s="53">
        <v>15.0</v>
      </c>
      <c r="O6" s="53">
        <v>15.0</v>
      </c>
      <c r="P6" s="53">
        <v>15.0</v>
      </c>
      <c r="Q6" s="53">
        <v>12.0</v>
      </c>
      <c r="R6" s="53">
        <v>12.0</v>
      </c>
      <c r="S6" s="53">
        <v>12.0</v>
      </c>
      <c r="T6" s="53">
        <v>12.0</v>
      </c>
      <c r="U6" s="53">
        <v>12.0</v>
      </c>
      <c r="V6" s="53">
        <v>12.0</v>
      </c>
      <c r="W6" s="53">
        <v>12.0</v>
      </c>
      <c r="X6" s="53">
        <v>12.0</v>
      </c>
      <c r="Y6" s="3">
        <v>13.0</v>
      </c>
      <c r="Z6" s="3">
        <v>14.0</v>
      </c>
      <c r="AA6" s="3">
        <v>15.0</v>
      </c>
      <c r="AB6" s="3">
        <v>15.0</v>
      </c>
      <c r="AC6" s="3">
        <v>15.0</v>
      </c>
      <c r="AD6" s="3">
        <v>15.0</v>
      </c>
      <c r="AE6" s="3">
        <v>15.0</v>
      </c>
      <c r="AH6" s="3">
        <v>20.0</v>
      </c>
      <c r="AI6" s="3">
        <v>10.0</v>
      </c>
      <c r="AJ6" s="3">
        <v>8.0</v>
      </c>
      <c r="AK6" s="3">
        <v>12.0</v>
      </c>
      <c r="AL6" s="3">
        <v>8.0</v>
      </c>
      <c r="AM6" s="3">
        <v>10.0</v>
      </c>
      <c r="AN6" s="3">
        <v>11.0</v>
      </c>
      <c r="AO6" s="3">
        <v>15.0</v>
      </c>
    </row>
    <row r="7" ht="12.0" customHeight="1">
      <c r="A7" s="54" t="s">
        <v>41</v>
      </c>
      <c r="B7" s="54" t="s">
        <v>65</v>
      </c>
      <c r="C7" s="54">
        <v>8.0</v>
      </c>
      <c r="D7" s="55"/>
      <c r="E7" s="55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49">
        <v>50.0</v>
      </c>
      <c r="V7" s="49">
        <v>50.0</v>
      </c>
      <c r="W7" s="49">
        <v>50.0</v>
      </c>
      <c r="X7" s="49">
        <v>52.0</v>
      </c>
      <c r="Y7" s="54">
        <v>54.0</v>
      </c>
      <c r="Z7" s="54">
        <v>57.0</v>
      </c>
      <c r="AA7" s="54">
        <v>60.0</v>
      </c>
      <c r="AB7" s="54">
        <v>60.0</v>
      </c>
      <c r="AC7" s="54">
        <v>60.0</v>
      </c>
      <c r="AD7" s="54">
        <v>61.0</v>
      </c>
      <c r="AE7" s="54">
        <v>62.0</v>
      </c>
      <c r="AF7" s="55"/>
      <c r="AG7" s="55"/>
      <c r="AH7" s="54">
        <v>50.0</v>
      </c>
      <c r="AI7" s="54">
        <v>60.0</v>
      </c>
      <c r="AJ7" s="54">
        <v>60.0</v>
      </c>
      <c r="AK7" s="54">
        <v>60.0</v>
      </c>
      <c r="AL7" s="54">
        <v>60.0</v>
      </c>
      <c r="AM7" s="54">
        <v>70.0</v>
      </c>
      <c r="AN7" s="54">
        <v>70.0</v>
      </c>
      <c r="AO7" s="54"/>
      <c r="AP7" s="54"/>
      <c r="AQ7" s="55"/>
    </row>
    <row r="8" ht="12.0" customHeight="1">
      <c r="A8" s="56"/>
      <c r="B8" s="56"/>
      <c r="C8" s="56"/>
      <c r="D8" s="57"/>
      <c r="E8" s="57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67">
        <v>3.0</v>
      </c>
      <c r="V8" s="67">
        <v>3.0</v>
      </c>
      <c r="W8" s="67">
        <v>3.0</v>
      </c>
      <c r="X8" s="67">
        <v>3.0</v>
      </c>
      <c r="Y8" s="56">
        <v>3.0</v>
      </c>
      <c r="Z8" s="56">
        <v>3.0</v>
      </c>
      <c r="AA8" s="56">
        <v>3.0</v>
      </c>
      <c r="AB8" s="56">
        <v>3.0</v>
      </c>
      <c r="AC8" s="56">
        <v>5.0</v>
      </c>
      <c r="AD8" s="56">
        <v>5.0</v>
      </c>
      <c r="AE8" s="56">
        <v>5.0</v>
      </c>
      <c r="AF8" s="57"/>
      <c r="AG8" s="57"/>
      <c r="AH8" s="56">
        <v>1.0</v>
      </c>
      <c r="AI8" s="56">
        <v>3.0</v>
      </c>
      <c r="AJ8" s="56">
        <v>1.0</v>
      </c>
      <c r="AK8" s="56">
        <v>3.0</v>
      </c>
      <c r="AL8" s="56">
        <v>3.0</v>
      </c>
      <c r="AM8" s="56">
        <v>3.0</v>
      </c>
      <c r="AN8" s="56">
        <v>3.0</v>
      </c>
      <c r="AO8" s="57"/>
      <c r="AP8" s="57"/>
      <c r="AQ8" s="68">
        <v>45721.0</v>
      </c>
    </row>
    <row r="9" ht="12.0" customHeight="1">
      <c r="A9" s="54" t="s">
        <v>41</v>
      </c>
      <c r="B9" s="54" t="s">
        <v>65</v>
      </c>
      <c r="C9" s="54">
        <v>8.0</v>
      </c>
      <c r="D9" s="55"/>
      <c r="E9" s="55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49">
        <v>60.0</v>
      </c>
      <c r="V9" s="49">
        <v>60.0</v>
      </c>
      <c r="W9" s="49">
        <v>60.0</v>
      </c>
      <c r="X9" s="49">
        <v>62.0</v>
      </c>
      <c r="Y9" s="54">
        <v>64.0</v>
      </c>
      <c r="Z9" s="54">
        <v>67.0</v>
      </c>
      <c r="AA9" s="54">
        <v>70.0</v>
      </c>
      <c r="AB9" s="54">
        <v>70.0</v>
      </c>
      <c r="AC9" s="54">
        <v>70.0</v>
      </c>
      <c r="AD9" s="54">
        <v>71.0</v>
      </c>
      <c r="AE9" s="54">
        <v>72.0</v>
      </c>
      <c r="AF9" s="55"/>
      <c r="AG9" s="55"/>
      <c r="AH9" s="54">
        <v>60.0</v>
      </c>
      <c r="AI9" s="54">
        <v>70.0</v>
      </c>
      <c r="AJ9" s="54">
        <v>68.0</v>
      </c>
      <c r="AK9" s="54">
        <v>70.0</v>
      </c>
      <c r="AL9" s="54">
        <v>70.0</v>
      </c>
      <c r="AM9" s="54">
        <v>80.0</v>
      </c>
      <c r="AN9" s="54">
        <v>80.0</v>
      </c>
      <c r="AO9" s="54"/>
      <c r="AP9" s="54"/>
      <c r="AQ9" s="55"/>
    </row>
    <row r="10" ht="12.0" customHeight="1">
      <c r="A10" s="56"/>
      <c r="B10" s="56"/>
      <c r="C10" s="56"/>
      <c r="D10" s="57"/>
      <c r="E10" s="57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67">
        <v>2.0</v>
      </c>
      <c r="V10" s="67">
        <v>2.0</v>
      </c>
      <c r="W10" s="67">
        <v>2.0</v>
      </c>
      <c r="X10" s="67">
        <v>2.0</v>
      </c>
      <c r="Y10" s="56">
        <v>2.0</v>
      </c>
      <c r="Z10" s="56">
        <v>2.0</v>
      </c>
      <c r="AA10" s="56">
        <v>2.0</v>
      </c>
      <c r="AB10" s="56">
        <v>2.0</v>
      </c>
      <c r="AC10" s="56">
        <v>3.0</v>
      </c>
      <c r="AD10" s="56">
        <v>3.0</v>
      </c>
      <c r="AE10" s="56">
        <v>3.0</v>
      </c>
      <c r="AF10" s="57"/>
      <c r="AG10" s="57"/>
      <c r="AH10" s="56">
        <v>1.0</v>
      </c>
      <c r="AI10" s="56">
        <v>2.0</v>
      </c>
      <c r="AJ10" s="56">
        <v>1.0</v>
      </c>
      <c r="AK10" s="56">
        <v>2.0</v>
      </c>
      <c r="AL10" s="56">
        <v>3.0</v>
      </c>
      <c r="AM10" s="56">
        <v>2.0</v>
      </c>
      <c r="AN10" s="56">
        <v>2.0</v>
      </c>
      <c r="AO10" s="57"/>
      <c r="AP10" s="57"/>
      <c r="AQ10" s="57"/>
    </row>
    <row r="11" ht="12.0" customHeight="1">
      <c r="A11" s="54" t="s">
        <v>41</v>
      </c>
      <c r="B11" s="54" t="s">
        <v>65</v>
      </c>
      <c r="C11" s="54">
        <v>8.0</v>
      </c>
      <c r="D11" s="55"/>
      <c r="E11" s="55"/>
      <c r="F11" s="54"/>
      <c r="G11" s="54"/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  <c r="U11" s="49">
        <v>64.0</v>
      </c>
      <c r="V11" s="49">
        <v>66.0</v>
      </c>
      <c r="W11" s="49">
        <v>68.0</v>
      </c>
      <c r="X11" s="49">
        <v>72.0</v>
      </c>
      <c r="Y11" s="54">
        <v>74.0</v>
      </c>
      <c r="Z11" s="54">
        <v>77.0</v>
      </c>
      <c r="AA11" s="54">
        <v>81.0</v>
      </c>
      <c r="AB11" s="54">
        <v>86.0</v>
      </c>
      <c r="AC11" s="54">
        <v>73.0</v>
      </c>
      <c r="AD11" s="54">
        <v>76.0</v>
      </c>
      <c r="AE11" s="54">
        <v>78.0</v>
      </c>
      <c r="AF11" s="55"/>
      <c r="AG11" s="55"/>
      <c r="AH11" s="54">
        <v>70.0</v>
      </c>
      <c r="AI11" s="54">
        <v>74.0</v>
      </c>
      <c r="AJ11" s="54">
        <v>76.0</v>
      </c>
      <c r="AK11" s="54">
        <v>78.0</v>
      </c>
      <c r="AL11" s="54">
        <v>80.0</v>
      </c>
      <c r="AM11" s="54">
        <v>90.0</v>
      </c>
      <c r="AN11" s="54">
        <v>90.0</v>
      </c>
      <c r="AO11" s="54"/>
      <c r="AP11" s="54"/>
      <c r="AQ11" s="55"/>
    </row>
    <row r="12" ht="12.0" customHeight="1">
      <c r="A12" s="56"/>
      <c r="B12" s="56"/>
      <c r="C12" s="56"/>
      <c r="D12" s="57"/>
      <c r="E12" s="57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67">
        <v>1.0</v>
      </c>
      <c r="V12" s="67">
        <v>1.0</v>
      </c>
      <c r="W12" s="67">
        <v>1.0</v>
      </c>
      <c r="X12" s="67">
        <v>1.0</v>
      </c>
      <c r="Y12" s="56">
        <v>1.0</v>
      </c>
      <c r="Z12" s="56">
        <v>1.0</v>
      </c>
      <c r="AA12" s="56">
        <v>1.0</v>
      </c>
      <c r="AB12" s="56">
        <v>1.0</v>
      </c>
      <c r="AC12" s="56">
        <v>2.0</v>
      </c>
      <c r="AD12" s="56">
        <v>2.0</v>
      </c>
      <c r="AE12" s="56">
        <v>2.0</v>
      </c>
      <c r="AF12" s="57"/>
      <c r="AG12" s="57"/>
      <c r="AH12" s="56">
        <v>1.0</v>
      </c>
      <c r="AI12" s="56">
        <v>1.0</v>
      </c>
      <c r="AJ12" s="56">
        <v>1.0</v>
      </c>
      <c r="AK12" s="56">
        <v>1.0</v>
      </c>
      <c r="AL12" s="56">
        <v>3.0</v>
      </c>
      <c r="AM12" s="56">
        <v>1.0</v>
      </c>
      <c r="AN12" s="56">
        <v>1.0</v>
      </c>
      <c r="AO12" s="57"/>
      <c r="AP12" s="57"/>
      <c r="AQ12" s="57"/>
    </row>
    <row r="13" ht="12.0" customHeight="1">
      <c r="A13" s="54" t="s">
        <v>41</v>
      </c>
      <c r="B13" s="54" t="s">
        <v>65</v>
      </c>
      <c r="C13" s="54">
        <v>8.0</v>
      </c>
      <c r="D13" s="55"/>
      <c r="E13" s="55"/>
      <c r="F13" s="54"/>
      <c r="G13" s="54"/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54"/>
      <c r="Y13" s="54"/>
      <c r="Z13" s="54"/>
      <c r="AA13" s="69"/>
      <c r="AB13" s="54">
        <v>87.0</v>
      </c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70">
        <v>97.0</v>
      </c>
      <c r="AN13" s="54">
        <v>71.0</v>
      </c>
      <c r="AO13" s="55"/>
      <c r="AP13" s="55"/>
      <c r="AQ13" s="55"/>
    </row>
    <row r="14" ht="12.0" customHeight="1">
      <c r="A14" s="71"/>
      <c r="B14" s="71"/>
      <c r="C14" s="71"/>
      <c r="D14" s="72"/>
      <c r="E14" s="72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3"/>
      <c r="AB14" s="71">
        <v>1.0</v>
      </c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4">
        <v>1.0</v>
      </c>
      <c r="AN14" s="71">
        <v>5.0</v>
      </c>
      <c r="AO14" s="72"/>
      <c r="AP14" s="72"/>
      <c r="AQ14" s="72"/>
    </row>
    <row r="15" ht="12.0" customHeight="1">
      <c r="A15" s="54" t="s">
        <v>55</v>
      </c>
      <c r="B15" s="54" t="s">
        <v>66</v>
      </c>
      <c r="C15" s="54">
        <v>4.6</v>
      </c>
      <c r="D15" s="55"/>
      <c r="E15" s="55"/>
      <c r="F15" s="54">
        <v>10.0</v>
      </c>
      <c r="G15" s="54">
        <v>10.5</v>
      </c>
      <c r="H15" s="54">
        <v>11.0</v>
      </c>
      <c r="I15" s="54">
        <v>11.5</v>
      </c>
      <c r="J15" s="54">
        <v>12.0</v>
      </c>
      <c r="K15" s="54">
        <v>12.5</v>
      </c>
      <c r="L15" s="54">
        <v>13.0</v>
      </c>
      <c r="M15" s="54">
        <v>13.5</v>
      </c>
      <c r="N15" s="54">
        <v>14.0</v>
      </c>
      <c r="O15" s="54">
        <v>14.0</v>
      </c>
      <c r="P15" s="54">
        <v>14.0</v>
      </c>
      <c r="Q15" s="54">
        <v>14.0</v>
      </c>
      <c r="R15" s="54">
        <v>14.5</v>
      </c>
      <c r="S15" s="54">
        <v>15.0</v>
      </c>
      <c r="T15" s="54">
        <v>15.0</v>
      </c>
      <c r="U15" s="54">
        <v>15.0</v>
      </c>
      <c r="V15" s="54">
        <v>15.0</v>
      </c>
      <c r="W15" s="54">
        <v>15.0</v>
      </c>
      <c r="X15" s="54">
        <v>15.0</v>
      </c>
      <c r="Y15" s="54">
        <v>15.0</v>
      </c>
      <c r="Z15" s="54">
        <v>15.0</v>
      </c>
      <c r="AA15" s="69">
        <v>16.0</v>
      </c>
      <c r="AB15" s="54"/>
      <c r="AC15" s="54">
        <v>15.0</v>
      </c>
      <c r="AD15" s="54">
        <v>15.0</v>
      </c>
      <c r="AE15" s="54"/>
      <c r="AF15" s="55"/>
      <c r="AG15" s="55"/>
      <c r="AH15" s="55"/>
      <c r="AI15" s="54"/>
      <c r="AJ15" s="55"/>
      <c r="AK15" s="55"/>
      <c r="AL15" s="55"/>
      <c r="AM15" s="55"/>
      <c r="AN15" s="55"/>
      <c r="AO15" s="54">
        <v>10.0</v>
      </c>
      <c r="AP15" s="55"/>
      <c r="AQ15" s="55"/>
    </row>
    <row r="16" ht="12.0" customHeight="1">
      <c r="A16" s="51"/>
      <c r="B16" s="51"/>
      <c r="C16" s="51"/>
      <c r="D16" s="51"/>
      <c r="E16" s="51"/>
      <c r="F16" s="53">
        <v>12.0</v>
      </c>
      <c r="G16" s="53">
        <v>15.0</v>
      </c>
      <c r="H16" s="53">
        <v>15.0</v>
      </c>
      <c r="I16" s="53">
        <v>12.0</v>
      </c>
      <c r="J16" s="53">
        <v>15.0</v>
      </c>
      <c r="K16" s="53">
        <v>15.0</v>
      </c>
      <c r="L16" s="53">
        <v>15.0</v>
      </c>
      <c r="M16" s="53">
        <v>15.0</v>
      </c>
      <c r="N16" s="53">
        <v>15.0</v>
      </c>
      <c r="O16" s="53">
        <v>15.0</v>
      </c>
      <c r="P16" s="53">
        <v>15.0</v>
      </c>
      <c r="Q16" s="53">
        <v>15.0</v>
      </c>
      <c r="R16" s="53">
        <v>12.0</v>
      </c>
      <c r="S16" s="53">
        <v>12.0</v>
      </c>
      <c r="T16" s="53">
        <v>12.0</v>
      </c>
      <c r="U16" s="53">
        <v>12.0</v>
      </c>
      <c r="V16" s="53">
        <v>12.0</v>
      </c>
      <c r="W16" s="53">
        <v>12.0</v>
      </c>
      <c r="X16" s="53">
        <v>12.0</v>
      </c>
      <c r="Y16" s="53">
        <v>12.0</v>
      </c>
      <c r="Z16" s="53">
        <v>12.0</v>
      </c>
      <c r="AA16" s="53">
        <v>10.0</v>
      </c>
      <c r="AB16" s="51"/>
      <c r="AC16" s="53">
        <v>12.0</v>
      </c>
      <c r="AD16" s="53">
        <v>12.0</v>
      </c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3">
        <v>10.0</v>
      </c>
      <c r="AP16" s="51"/>
      <c r="AQ16" s="51"/>
    </row>
    <row r="17" ht="12.0" customHeight="1">
      <c r="A17" s="51"/>
      <c r="B17" s="51"/>
      <c r="C17" s="51"/>
      <c r="D17" s="51"/>
      <c r="E17" s="51"/>
      <c r="F17" s="53">
        <v>12.0</v>
      </c>
      <c r="G17" s="53">
        <v>15.0</v>
      </c>
      <c r="H17" s="53">
        <v>15.0</v>
      </c>
      <c r="I17" s="53">
        <v>12.0</v>
      </c>
      <c r="J17" s="53">
        <v>15.0</v>
      </c>
      <c r="K17" s="53">
        <v>15.0</v>
      </c>
      <c r="L17" s="53">
        <v>15.0</v>
      </c>
      <c r="M17" s="53">
        <v>15.0</v>
      </c>
      <c r="N17" s="53">
        <v>15.0</v>
      </c>
      <c r="O17" s="53">
        <v>15.0</v>
      </c>
      <c r="P17" s="53">
        <v>15.0</v>
      </c>
      <c r="Q17" s="53">
        <v>15.0</v>
      </c>
      <c r="R17" s="53">
        <v>12.0</v>
      </c>
      <c r="S17" s="53">
        <v>12.0</v>
      </c>
      <c r="T17" s="53">
        <v>12.0</v>
      </c>
      <c r="U17" s="53">
        <v>12.0</v>
      </c>
      <c r="V17" s="53">
        <v>12.0</v>
      </c>
      <c r="W17" s="53">
        <v>12.0</v>
      </c>
      <c r="X17" s="53">
        <v>12.0</v>
      </c>
      <c r="Y17" s="53">
        <v>12.0</v>
      </c>
      <c r="Z17" s="53">
        <v>12.0</v>
      </c>
      <c r="AA17" s="53">
        <v>10.0</v>
      </c>
      <c r="AB17" s="51"/>
      <c r="AC17" s="53">
        <v>12.0</v>
      </c>
      <c r="AD17" s="53">
        <v>12.0</v>
      </c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3">
        <v>10.0</v>
      </c>
      <c r="AP17" s="51"/>
      <c r="AQ17" s="51"/>
    </row>
    <row r="18" ht="12.0" customHeight="1">
      <c r="A18" s="51"/>
      <c r="B18" s="51"/>
      <c r="C18" s="51"/>
      <c r="D18" s="51"/>
      <c r="E18" s="51"/>
      <c r="F18" s="53">
        <v>12.0</v>
      </c>
      <c r="G18" s="53">
        <v>15.0</v>
      </c>
      <c r="H18" s="53">
        <v>15.0</v>
      </c>
      <c r="I18" s="53">
        <v>12.0</v>
      </c>
      <c r="J18" s="53">
        <v>15.0</v>
      </c>
      <c r="K18" s="53">
        <v>15.0</v>
      </c>
      <c r="L18" s="53">
        <v>15.0</v>
      </c>
      <c r="M18" s="53">
        <v>15.0</v>
      </c>
      <c r="N18" s="53">
        <v>15.0</v>
      </c>
      <c r="O18" s="53">
        <v>15.0</v>
      </c>
      <c r="P18" s="53">
        <v>15.0</v>
      </c>
      <c r="Q18" s="53">
        <v>15.0</v>
      </c>
      <c r="R18" s="53">
        <v>12.0</v>
      </c>
      <c r="S18" s="53">
        <v>12.0</v>
      </c>
      <c r="T18" s="53">
        <v>12.0</v>
      </c>
      <c r="U18" s="53">
        <v>12.0</v>
      </c>
      <c r="V18" s="53">
        <v>12.0</v>
      </c>
      <c r="W18" s="53">
        <v>12.0</v>
      </c>
      <c r="X18" s="53">
        <v>12.0</v>
      </c>
      <c r="Y18" s="53">
        <v>12.0</v>
      </c>
      <c r="Z18" s="53">
        <v>12.0</v>
      </c>
      <c r="AA18" s="53">
        <v>10.0</v>
      </c>
      <c r="AB18" s="51"/>
      <c r="AC18" s="53">
        <v>12.0</v>
      </c>
      <c r="AD18" s="53">
        <v>12.0</v>
      </c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3">
        <v>10.0</v>
      </c>
      <c r="AP18" s="51"/>
      <c r="AQ18" s="51"/>
    </row>
    <row r="19" ht="12.0" customHeight="1">
      <c r="A19" s="54" t="s">
        <v>67</v>
      </c>
      <c r="B19" s="54" t="s">
        <v>68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4"/>
      <c r="N19" s="55"/>
      <c r="O19" s="54"/>
      <c r="P19" s="54"/>
      <c r="Q19" s="54"/>
      <c r="R19" s="54"/>
      <c r="S19" s="54"/>
      <c r="T19" s="54"/>
      <c r="U19" s="54">
        <v>20.0</v>
      </c>
      <c r="V19" s="54">
        <v>26.0</v>
      </c>
      <c r="W19" s="54">
        <v>32.0</v>
      </c>
      <c r="X19" s="54">
        <v>38.0</v>
      </c>
      <c r="Y19" s="54">
        <v>40.0</v>
      </c>
      <c r="Z19" s="54">
        <v>46.0</v>
      </c>
      <c r="AA19" s="54">
        <v>30.0</v>
      </c>
      <c r="AB19" s="54">
        <v>32.0</v>
      </c>
      <c r="AC19" s="54">
        <v>34.0</v>
      </c>
      <c r="AD19" s="54">
        <v>36.0</v>
      </c>
      <c r="AE19" s="54">
        <v>38.0</v>
      </c>
      <c r="AF19" s="55"/>
      <c r="AG19" s="55"/>
      <c r="AH19" s="55"/>
      <c r="AI19" s="55"/>
      <c r="AJ19" s="55"/>
      <c r="AK19" s="55"/>
      <c r="AL19" s="55"/>
      <c r="AM19" s="55"/>
      <c r="AN19" s="54">
        <v>48.0</v>
      </c>
      <c r="AO19" s="54">
        <v>48.0</v>
      </c>
      <c r="AP19" s="55"/>
      <c r="AQ19" s="55"/>
    </row>
    <row r="20" ht="12.0" customHeight="1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7"/>
      <c r="O20" s="56"/>
      <c r="P20" s="56"/>
      <c r="Q20" s="56"/>
      <c r="R20" s="56"/>
      <c r="S20" s="56"/>
      <c r="T20" s="56"/>
      <c r="U20" s="56">
        <v>8.0</v>
      </c>
      <c r="V20" s="56">
        <v>8.0</v>
      </c>
      <c r="W20" s="56">
        <v>8.0</v>
      </c>
      <c r="X20" s="56">
        <v>8.0</v>
      </c>
      <c r="Y20" s="56">
        <v>8.0</v>
      </c>
      <c r="Z20" s="56">
        <v>8.0</v>
      </c>
      <c r="AA20" s="75">
        <v>8.0</v>
      </c>
      <c r="AB20" s="75">
        <v>8.0</v>
      </c>
      <c r="AC20" s="75">
        <v>8.0</v>
      </c>
      <c r="AD20" s="75">
        <v>8.0</v>
      </c>
      <c r="AE20" s="75">
        <v>8.0</v>
      </c>
      <c r="AF20" s="57"/>
      <c r="AG20" s="57"/>
      <c r="AH20" s="57"/>
      <c r="AI20" s="57"/>
      <c r="AJ20" s="57"/>
      <c r="AK20" s="57"/>
      <c r="AL20" s="57"/>
      <c r="AM20" s="57"/>
      <c r="AN20" s="56">
        <v>8.0</v>
      </c>
      <c r="AO20" s="75">
        <v>5.0</v>
      </c>
      <c r="AP20" s="57"/>
      <c r="AQ20" s="57"/>
    </row>
    <row r="21" ht="12.0" customHeight="1">
      <c r="A21" s="54" t="s">
        <v>67</v>
      </c>
      <c r="B21" s="54" t="s">
        <v>68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4"/>
      <c r="N21" s="55"/>
      <c r="O21" s="54"/>
      <c r="P21" s="54"/>
      <c r="Q21" s="54"/>
      <c r="R21" s="54"/>
      <c r="S21" s="54"/>
      <c r="T21" s="54"/>
      <c r="U21" s="54">
        <v>30.0</v>
      </c>
      <c r="V21" s="54">
        <v>34.0</v>
      </c>
      <c r="W21" s="54">
        <v>38.0</v>
      </c>
      <c r="X21" s="54">
        <v>44.0</v>
      </c>
      <c r="Y21" s="54">
        <v>46.0</v>
      </c>
      <c r="Z21" s="54">
        <v>52.0</v>
      </c>
      <c r="AA21" s="54">
        <v>40.0</v>
      </c>
      <c r="AB21" s="54">
        <v>42.0</v>
      </c>
      <c r="AC21" s="54">
        <v>44.0</v>
      </c>
      <c r="AD21" s="54">
        <v>46.0</v>
      </c>
      <c r="AE21" s="54">
        <v>48.0</v>
      </c>
      <c r="AF21" s="55"/>
      <c r="AG21" s="55"/>
      <c r="AH21" s="55"/>
      <c r="AI21" s="55"/>
      <c r="AJ21" s="55"/>
      <c r="AK21" s="55"/>
      <c r="AL21" s="55"/>
      <c r="AM21" s="55"/>
      <c r="AN21" s="54">
        <v>58.0</v>
      </c>
      <c r="AO21" s="54">
        <v>52.0</v>
      </c>
      <c r="AP21" s="55"/>
      <c r="AQ21" s="55"/>
    </row>
    <row r="22" ht="12.0" customHeight="1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7"/>
      <c r="O22" s="56"/>
      <c r="P22" s="56"/>
      <c r="Q22" s="56"/>
      <c r="R22" s="56"/>
      <c r="S22" s="56"/>
      <c r="T22" s="56"/>
      <c r="U22" s="56">
        <v>5.0</v>
      </c>
      <c r="V22" s="56">
        <v>5.0</v>
      </c>
      <c r="W22" s="56">
        <v>5.0</v>
      </c>
      <c r="X22" s="56">
        <v>5.0</v>
      </c>
      <c r="Y22" s="56">
        <v>5.0</v>
      </c>
      <c r="Z22" s="56">
        <v>5.0</v>
      </c>
      <c r="AA22" s="75">
        <v>5.0</v>
      </c>
      <c r="AB22" s="75">
        <v>5.0</v>
      </c>
      <c r="AC22" s="75">
        <v>5.0</v>
      </c>
      <c r="AD22" s="75">
        <v>5.0</v>
      </c>
      <c r="AE22" s="75">
        <v>5.0</v>
      </c>
      <c r="AF22" s="57"/>
      <c r="AG22" s="57"/>
      <c r="AH22" s="57"/>
      <c r="AI22" s="57"/>
      <c r="AJ22" s="57"/>
      <c r="AK22" s="57"/>
      <c r="AL22" s="57"/>
      <c r="AM22" s="57"/>
      <c r="AN22" s="56">
        <v>8.0</v>
      </c>
      <c r="AO22" s="75">
        <v>5.0</v>
      </c>
      <c r="AP22" s="57"/>
      <c r="AQ22" s="57"/>
    </row>
    <row r="23" ht="12.0" customHeight="1">
      <c r="A23" s="54" t="s">
        <v>67</v>
      </c>
      <c r="B23" s="54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5"/>
      <c r="O23" s="54"/>
      <c r="P23" s="54"/>
      <c r="Q23" s="54"/>
      <c r="R23" s="54"/>
      <c r="S23" s="54"/>
      <c r="T23" s="54"/>
      <c r="U23" s="54">
        <v>40.0</v>
      </c>
      <c r="V23" s="54">
        <v>42.0</v>
      </c>
      <c r="W23" s="54">
        <v>44.0</v>
      </c>
      <c r="X23" s="54">
        <v>48.0</v>
      </c>
      <c r="Y23" s="54">
        <v>50.0</v>
      </c>
      <c r="Z23" s="54">
        <v>56.0</v>
      </c>
      <c r="AA23" s="54">
        <v>50.0</v>
      </c>
      <c r="AB23" s="54">
        <v>52.0</v>
      </c>
      <c r="AC23" s="54">
        <v>54.0</v>
      </c>
      <c r="AD23" s="54">
        <v>56.0</v>
      </c>
      <c r="AE23" s="54">
        <v>58.0</v>
      </c>
      <c r="AF23" s="55"/>
      <c r="AG23" s="55"/>
      <c r="AH23" s="55"/>
      <c r="AI23" s="55"/>
      <c r="AJ23" s="55"/>
      <c r="AK23" s="55"/>
      <c r="AL23" s="55"/>
      <c r="AM23" s="55"/>
      <c r="AN23" s="54">
        <v>68.0</v>
      </c>
      <c r="AO23" s="54">
        <v>56.0</v>
      </c>
      <c r="AP23" s="55"/>
      <c r="AQ23" s="55"/>
    </row>
    <row r="24" ht="12.0" customHeight="1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7"/>
      <c r="O24" s="56"/>
      <c r="P24" s="56"/>
      <c r="Q24" s="56"/>
      <c r="R24" s="56"/>
      <c r="S24" s="56"/>
      <c r="T24" s="56"/>
      <c r="U24" s="56">
        <v>3.0</v>
      </c>
      <c r="V24" s="56">
        <v>3.0</v>
      </c>
      <c r="W24" s="56">
        <v>3.0</v>
      </c>
      <c r="X24" s="56">
        <v>3.0</v>
      </c>
      <c r="Y24" s="56">
        <v>3.0</v>
      </c>
      <c r="Z24" s="56">
        <v>3.0</v>
      </c>
      <c r="AA24" s="75">
        <v>3.0</v>
      </c>
      <c r="AB24" s="75">
        <v>3.0</v>
      </c>
      <c r="AC24" s="75">
        <v>3.0</v>
      </c>
      <c r="AD24" s="75">
        <v>3.0</v>
      </c>
      <c r="AE24" s="75">
        <v>3.0</v>
      </c>
      <c r="AF24" s="57"/>
      <c r="AG24" s="57"/>
      <c r="AH24" s="57"/>
      <c r="AI24" s="57"/>
      <c r="AJ24" s="57"/>
      <c r="AK24" s="57"/>
      <c r="AL24" s="57"/>
      <c r="AM24" s="57"/>
      <c r="AN24" s="56">
        <v>11.0</v>
      </c>
      <c r="AO24" s="75">
        <v>5.0</v>
      </c>
      <c r="AP24" s="57"/>
      <c r="AQ24" s="57"/>
    </row>
    <row r="25" ht="12.0" customHeight="1">
      <c r="A25" s="54" t="s">
        <v>42</v>
      </c>
      <c r="B25" s="54" t="s">
        <v>69</v>
      </c>
      <c r="C25" s="54"/>
      <c r="D25" s="54"/>
      <c r="E25" s="54"/>
      <c r="F25" s="54"/>
      <c r="G25" s="54"/>
      <c r="H25" s="54"/>
      <c r="I25" s="54"/>
      <c r="J25" s="54"/>
      <c r="K25" s="54" t="s">
        <v>43</v>
      </c>
      <c r="L25" s="54" t="s">
        <v>44</v>
      </c>
      <c r="M25" s="54" t="s">
        <v>44</v>
      </c>
      <c r="N25" s="55"/>
      <c r="O25" s="54" t="s">
        <v>44</v>
      </c>
      <c r="P25" s="54" t="s">
        <v>44</v>
      </c>
      <c r="Q25" s="54" t="s">
        <v>44</v>
      </c>
      <c r="R25" s="54" t="s">
        <v>44</v>
      </c>
      <c r="S25" s="54" t="s">
        <v>44</v>
      </c>
      <c r="T25" s="54" t="s">
        <v>44</v>
      </c>
      <c r="U25" s="54" t="s">
        <v>44</v>
      </c>
      <c r="V25" s="54" t="s">
        <v>44</v>
      </c>
      <c r="W25" s="54" t="s">
        <v>44</v>
      </c>
      <c r="X25" s="54" t="s">
        <v>44</v>
      </c>
      <c r="Y25" s="54" t="s">
        <v>44</v>
      </c>
      <c r="Z25" s="54" t="s">
        <v>44</v>
      </c>
      <c r="AA25" s="54" t="s">
        <v>44</v>
      </c>
      <c r="AB25" s="54" t="s">
        <v>44</v>
      </c>
      <c r="AC25" s="54" t="s">
        <v>44</v>
      </c>
      <c r="AD25" s="54" t="s">
        <v>44</v>
      </c>
      <c r="AE25" s="54" t="s">
        <v>44</v>
      </c>
      <c r="AF25" s="54" t="s">
        <v>44</v>
      </c>
      <c r="AG25" s="55"/>
      <c r="AH25" s="54" t="s">
        <v>44</v>
      </c>
      <c r="AI25" s="54" t="s">
        <v>44</v>
      </c>
      <c r="AJ25" s="54" t="s">
        <v>44</v>
      </c>
      <c r="AK25" s="54" t="s">
        <v>44</v>
      </c>
      <c r="AL25" s="54" t="s">
        <v>44</v>
      </c>
      <c r="AM25" s="54" t="s">
        <v>44</v>
      </c>
      <c r="AN25" s="54" t="s">
        <v>44</v>
      </c>
      <c r="AO25" s="54" t="s">
        <v>44</v>
      </c>
      <c r="AP25" s="54"/>
      <c r="AQ25" s="55"/>
    </row>
    <row r="26" ht="12.0" customHeight="1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>
        <v>20.0</v>
      </c>
      <c r="L26" s="56">
        <v>12.0</v>
      </c>
      <c r="M26" s="56">
        <v>15.0</v>
      </c>
      <c r="N26" s="57"/>
      <c r="O26" s="56">
        <v>15.0</v>
      </c>
      <c r="P26" s="56">
        <v>15.0</v>
      </c>
      <c r="Q26" s="56">
        <v>15.0</v>
      </c>
      <c r="R26" s="56">
        <v>15.0</v>
      </c>
      <c r="S26" s="56">
        <v>15.0</v>
      </c>
      <c r="T26" s="56">
        <v>15.0</v>
      </c>
      <c r="U26" s="56">
        <v>10.0</v>
      </c>
      <c r="V26" s="56">
        <v>15.0</v>
      </c>
      <c r="W26" s="56">
        <v>12.0</v>
      </c>
      <c r="X26" s="56">
        <v>15.0</v>
      </c>
      <c r="Y26" s="56">
        <v>15.0</v>
      </c>
      <c r="Z26" s="56">
        <v>15.0</v>
      </c>
      <c r="AA26" s="56">
        <v>15.0</v>
      </c>
      <c r="AB26" s="56">
        <v>15.0</v>
      </c>
      <c r="AC26" s="56">
        <v>15.0</v>
      </c>
      <c r="AD26" s="56">
        <v>15.0</v>
      </c>
      <c r="AE26" s="56">
        <v>15.0</v>
      </c>
      <c r="AF26" s="56">
        <v>15.0</v>
      </c>
      <c r="AG26" s="57"/>
      <c r="AH26" s="56">
        <v>15.0</v>
      </c>
      <c r="AI26" s="56">
        <v>15.0</v>
      </c>
      <c r="AJ26" s="56">
        <v>12.0</v>
      </c>
      <c r="AK26" s="56">
        <v>15.0</v>
      </c>
      <c r="AL26" s="56">
        <v>15.0</v>
      </c>
      <c r="AM26" s="56">
        <v>15.0</v>
      </c>
      <c r="AN26" s="56">
        <v>15.0</v>
      </c>
      <c r="AO26" s="56">
        <v>15.0</v>
      </c>
      <c r="AP26" s="57"/>
      <c r="AQ26" s="57"/>
    </row>
    <row r="27" ht="12.0" customHeight="1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>
        <v>20.0</v>
      </c>
      <c r="L27" s="56">
        <v>12.0</v>
      </c>
      <c r="M27" s="56">
        <v>15.0</v>
      </c>
      <c r="N27" s="57"/>
      <c r="O27" s="56">
        <v>15.0</v>
      </c>
      <c r="P27" s="56">
        <v>15.0</v>
      </c>
      <c r="Q27" s="56">
        <v>15.0</v>
      </c>
      <c r="R27" s="56">
        <v>15.0</v>
      </c>
      <c r="S27" s="56">
        <v>15.0</v>
      </c>
      <c r="T27" s="56">
        <v>15.0</v>
      </c>
      <c r="U27" s="56">
        <v>10.0</v>
      </c>
      <c r="V27" s="56">
        <v>15.0</v>
      </c>
      <c r="W27" s="56">
        <v>12.0</v>
      </c>
      <c r="X27" s="56">
        <v>15.0</v>
      </c>
      <c r="Y27" s="56">
        <v>15.0</v>
      </c>
      <c r="Z27" s="56">
        <v>15.0</v>
      </c>
      <c r="AA27" s="56">
        <v>15.0</v>
      </c>
      <c r="AB27" s="56">
        <v>15.0</v>
      </c>
      <c r="AC27" s="56">
        <v>15.0</v>
      </c>
      <c r="AD27" s="56">
        <v>15.0</v>
      </c>
      <c r="AE27" s="56">
        <v>15.0</v>
      </c>
      <c r="AF27" s="56">
        <v>15.0</v>
      </c>
      <c r="AG27" s="57"/>
      <c r="AH27" s="56">
        <v>15.0</v>
      </c>
      <c r="AI27" s="56">
        <v>15.0</v>
      </c>
      <c r="AJ27" s="56">
        <v>12.0</v>
      </c>
      <c r="AK27" s="56">
        <v>15.0</v>
      </c>
      <c r="AL27" s="56">
        <v>15.0</v>
      </c>
      <c r="AM27" s="56">
        <v>15.0</v>
      </c>
      <c r="AN27" s="56">
        <v>15.0</v>
      </c>
      <c r="AO27" s="56">
        <v>15.0</v>
      </c>
      <c r="AP27" s="57"/>
      <c r="AQ27" s="57"/>
    </row>
    <row r="28" ht="12.0" customHeight="1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>
        <v>20.0</v>
      </c>
      <c r="L28" s="56">
        <v>12.0</v>
      </c>
      <c r="M28" s="56">
        <v>15.0</v>
      </c>
      <c r="N28" s="57"/>
      <c r="O28" s="56">
        <v>15.0</v>
      </c>
      <c r="P28" s="56">
        <v>15.0</v>
      </c>
      <c r="Q28" s="56">
        <v>15.0</v>
      </c>
      <c r="R28" s="56">
        <v>15.0</v>
      </c>
      <c r="S28" s="56">
        <v>15.0</v>
      </c>
      <c r="T28" s="56">
        <v>15.0</v>
      </c>
      <c r="U28" s="56">
        <v>10.0</v>
      </c>
      <c r="V28" s="56">
        <v>15.0</v>
      </c>
      <c r="W28" s="56">
        <v>12.0</v>
      </c>
      <c r="X28" s="56">
        <v>15.0</v>
      </c>
      <c r="Y28" s="56">
        <v>15.0</v>
      </c>
      <c r="Z28" s="56">
        <v>15.0</v>
      </c>
      <c r="AA28" s="56">
        <v>15.0</v>
      </c>
      <c r="AB28" s="56">
        <v>15.0</v>
      </c>
      <c r="AC28" s="56">
        <v>15.0</v>
      </c>
      <c r="AD28" s="56">
        <v>15.0</v>
      </c>
      <c r="AE28" s="56">
        <v>15.0</v>
      </c>
      <c r="AF28" s="56">
        <v>15.0</v>
      </c>
      <c r="AG28" s="57"/>
      <c r="AH28" s="56">
        <v>15.0</v>
      </c>
      <c r="AI28" s="56">
        <v>15.0</v>
      </c>
      <c r="AJ28" s="56">
        <v>12.0</v>
      </c>
      <c r="AK28" s="56">
        <v>15.0</v>
      </c>
      <c r="AL28" s="56">
        <v>15.0</v>
      </c>
      <c r="AM28" s="56">
        <v>15.0</v>
      </c>
      <c r="AN28" s="56">
        <v>15.0</v>
      </c>
      <c r="AO28" s="56">
        <v>15.0</v>
      </c>
      <c r="AP28" s="57"/>
      <c r="AQ28" s="57"/>
    </row>
    <row r="29" ht="12.0" customHeight="1">
      <c r="A29" s="54" t="s">
        <v>56</v>
      </c>
      <c r="B29" s="54" t="s">
        <v>56</v>
      </c>
      <c r="C29" s="54">
        <v>8.0</v>
      </c>
      <c r="D29" s="54">
        <v>20.0</v>
      </c>
      <c r="E29" s="54">
        <v>21.0</v>
      </c>
      <c r="F29" s="54">
        <v>22.0</v>
      </c>
      <c r="G29" s="54">
        <v>23.0</v>
      </c>
      <c r="H29" s="54">
        <v>24.0</v>
      </c>
      <c r="I29" s="54">
        <v>25.0</v>
      </c>
      <c r="J29" s="54">
        <v>26.0</v>
      </c>
      <c r="K29" s="54">
        <v>27.0</v>
      </c>
      <c r="L29" s="54">
        <v>28.0</v>
      </c>
      <c r="M29" s="54">
        <v>29.0</v>
      </c>
      <c r="N29" s="54">
        <v>30.0</v>
      </c>
      <c r="O29" s="54">
        <v>30.0</v>
      </c>
      <c r="P29" s="54">
        <v>30.0</v>
      </c>
      <c r="Q29" s="54">
        <v>30.0</v>
      </c>
      <c r="R29" s="54">
        <v>30.0</v>
      </c>
      <c r="S29" s="54">
        <v>34.0</v>
      </c>
      <c r="T29" s="54">
        <v>35.0</v>
      </c>
      <c r="U29" s="54">
        <v>36.0</v>
      </c>
      <c r="V29" s="54"/>
      <c r="W29" s="54">
        <v>30.0</v>
      </c>
      <c r="X29" s="54">
        <v>31.0</v>
      </c>
      <c r="Y29" s="54">
        <v>31.0</v>
      </c>
      <c r="Z29" s="54"/>
      <c r="AA29" s="54">
        <v>34.0</v>
      </c>
      <c r="AB29" s="54">
        <v>35.0</v>
      </c>
      <c r="AC29" s="54">
        <v>36.0</v>
      </c>
      <c r="AD29" s="54">
        <v>37.0</v>
      </c>
      <c r="AE29" s="54">
        <v>38.0</v>
      </c>
      <c r="AF29" s="54">
        <v>39.0</v>
      </c>
      <c r="AG29" s="54">
        <v>40.0</v>
      </c>
      <c r="AH29" s="54">
        <v>41.0</v>
      </c>
      <c r="AI29" s="54">
        <v>42.0</v>
      </c>
      <c r="AJ29" s="54">
        <v>42.0</v>
      </c>
      <c r="AK29" s="54">
        <v>42.0</v>
      </c>
      <c r="AL29" s="54">
        <v>43.0</v>
      </c>
      <c r="AM29" s="54">
        <v>30.0</v>
      </c>
      <c r="AN29" s="54"/>
      <c r="AO29" s="54">
        <v>30.0</v>
      </c>
      <c r="AP29" s="54"/>
      <c r="AQ29" s="54">
        <v>34.0</v>
      </c>
    </row>
    <row r="30" ht="12.0" customHeight="1">
      <c r="A30" s="51"/>
      <c r="B30" s="51"/>
      <c r="C30" s="51"/>
      <c r="D30" s="53">
        <v>10.0</v>
      </c>
      <c r="E30" s="53">
        <v>10.0</v>
      </c>
      <c r="F30" s="53">
        <v>10.0</v>
      </c>
      <c r="G30" s="53">
        <v>10.0</v>
      </c>
      <c r="H30" s="53">
        <v>10.0</v>
      </c>
      <c r="I30" s="53">
        <v>10.0</v>
      </c>
      <c r="J30" s="53">
        <v>10.0</v>
      </c>
      <c r="K30" s="53">
        <v>10.0</v>
      </c>
      <c r="L30" s="53">
        <v>10.0</v>
      </c>
      <c r="M30" s="53">
        <v>10.0</v>
      </c>
      <c r="N30" s="53">
        <v>10.0</v>
      </c>
      <c r="O30" s="53">
        <v>11.0</v>
      </c>
      <c r="P30" s="53">
        <v>12.0</v>
      </c>
      <c r="Q30" s="53">
        <v>13.0</v>
      </c>
      <c r="R30" s="53">
        <v>14.0</v>
      </c>
      <c r="S30" s="53">
        <v>15.0</v>
      </c>
      <c r="T30" s="53">
        <v>12.0</v>
      </c>
      <c r="U30" s="58">
        <v>12.0</v>
      </c>
      <c r="V30" s="53"/>
      <c r="W30" s="53">
        <v>12.0</v>
      </c>
      <c r="X30" s="53">
        <v>10.0</v>
      </c>
      <c r="Y30" s="53">
        <v>12.0</v>
      </c>
      <c r="Z30" s="53"/>
      <c r="AA30" s="76">
        <v>8.0</v>
      </c>
      <c r="AB30" s="76">
        <v>8.0</v>
      </c>
      <c r="AC30" s="76">
        <v>8.0</v>
      </c>
      <c r="AD30" s="76">
        <v>8.0</v>
      </c>
      <c r="AE30" s="76">
        <v>8.0</v>
      </c>
      <c r="AF30" s="76">
        <v>8.0</v>
      </c>
      <c r="AG30" s="76">
        <v>8.0</v>
      </c>
      <c r="AH30" s="76">
        <v>8.0</v>
      </c>
      <c r="AI30" s="76">
        <v>8.0</v>
      </c>
      <c r="AJ30" s="53">
        <v>6.0</v>
      </c>
      <c r="AK30" s="53">
        <v>8.0</v>
      </c>
      <c r="AL30" s="53">
        <v>8.0</v>
      </c>
      <c r="AM30" s="53">
        <v>10.0</v>
      </c>
      <c r="AN30" s="51"/>
      <c r="AO30" s="53">
        <v>10.0</v>
      </c>
      <c r="AP30" s="51"/>
      <c r="AQ30" s="51"/>
    </row>
    <row r="31" ht="12.0" customHeight="1">
      <c r="A31" s="51"/>
      <c r="B31" s="51"/>
      <c r="C31" s="51"/>
      <c r="D31" s="53">
        <v>10.0</v>
      </c>
      <c r="E31" s="53">
        <v>10.0</v>
      </c>
      <c r="F31" s="53">
        <v>10.0</v>
      </c>
      <c r="G31" s="53">
        <v>10.0</v>
      </c>
      <c r="H31" s="53">
        <v>10.0</v>
      </c>
      <c r="I31" s="53">
        <v>10.0</v>
      </c>
      <c r="J31" s="53">
        <v>10.0</v>
      </c>
      <c r="K31" s="53">
        <v>10.0</v>
      </c>
      <c r="L31" s="53">
        <v>10.0</v>
      </c>
      <c r="M31" s="53">
        <v>10.0</v>
      </c>
      <c r="N31" s="53">
        <v>10.0</v>
      </c>
      <c r="O31" s="53">
        <v>11.0</v>
      </c>
      <c r="P31" s="53">
        <v>12.0</v>
      </c>
      <c r="Q31" s="53">
        <v>13.0</v>
      </c>
      <c r="R31" s="53">
        <v>14.0</v>
      </c>
      <c r="S31" s="53">
        <v>15.0</v>
      </c>
      <c r="T31" s="53">
        <v>12.0</v>
      </c>
      <c r="U31" s="53" t="s">
        <v>10</v>
      </c>
      <c r="V31" s="51"/>
      <c r="W31" s="53">
        <v>12.0</v>
      </c>
      <c r="X31" s="53">
        <v>10.0</v>
      </c>
      <c r="Y31" s="53">
        <v>12.0</v>
      </c>
      <c r="Z31" s="51"/>
      <c r="AA31" s="76">
        <v>8.0</v>
      </c>
      <c r="AB31" s="76">
        <v>8.0</v>
      </c>
      <c r="AC31" s="76">
        <v>8.0</v>
      </c>
      <c r="AD31" s="76">
        <v>8.0</v>
      </c>
      <c r="AE31" s="76">
        <v>8.0</v>
      </c>
      <c r="AF31" s="76">
        <v>8.0</v>
      </c>
      <c r="AG31" s="76">
        <v>8.0</v>
      </c>
      <c r="AH31" s="76">
        <v>8.0</v>
      </c>
      <c r="AI31" s="76">
        <v>8.0</v>
      </c>
      <c r="AJ31" s="53">
        <v>6.0</v>
      </c>
      <c r="AK31" s="53">
        <v>8.0</v>
      </c>
      <c r="AL31" s="53">
        <v>8.0</v>
      </c>
      <c r="AM31" s="53">
        <v>10.0</v>
      </c>
      <c r="AN31" s="51"/>
      <c r="AO31" s="53">
        <v>10.0</v>
      </c>
      <c r="AP31" s="51"/>
      <c r="AQ31" s="51"/>
    </row>
    <row r="32" ht="12.0" customHeight="1">
      <c r="A32" s="51"/>
      <c r="B32" s="51"/>
      <c r="C32" s="51"/>
      <c r="D32" s="53">
        <v>10.0</v>
      </c>
      <c r="E32" s="53">
        <v>10.0</v>
      </c>
      <c r="F32" s="53">
        <v>10.0</v>
      </c>
      <c r="G32" s="53">
        <v>10.0</v>
      </c>
      <c r="H32" s="53">
        <v>10.0</v>
      </c>
      <c r="I32" s="53">
        <v>10.0</v>
      </c>
      <c r="J32" s="53">
        <v>10.0</v>
      </c>
      <c r="K32" s="53">
        <v>10.0</v>
      </c>
      <c r="L32" s="53">
        <v>10.0</v>
      </c>
      <c r="M32" s="53">
        <v>10.0</v>
      </c>
      <c r="N32" s="53">
        <v>10.0</v>
      </c>
      <c r="O32" s="53">
        <v>11.0</v>
      </c>
      <c r="P32" s="53">
        <v>12.0</v>
      </c>
      <c r="Q32" s="53">
        <v>13.0</v>
      </c>
      <c r="R32" s="53">
        <v>14.0</v>
      </c>
      <c r="S32" s="53">
        <v>15.0</v>
      </c>
      <c r="T32" s="53">
        <v>12.0</v>
      </c>
      <c r="U32" s="53" t="s">
        <v>10</v>
      </c>
      <c r="V32" s="51"/>
      <c r="W32" s="53">
        <v>12.0</v>
      </c>
      <c r="X32" s="53">
        <v>10.0</v>
      </c>
      <c r="Y32" s="53">
        <v>12.0</v>
      </c>
      <c r="Z32" s="51"/>
      <c r="AA32" s="76">
        <v>8.0</v>
      </c>
      <c r="AB32" s="76">
        <v>8.0</v>
      </c>
      <c r="AC32" s="76">
        <v>8.0</v>
      </c>
      <c r="AD32" s="76">
        <v>8.0</v>
      </c>
      <c r="AE32" s="76">
        <v>8.0</v>
      </c>
      <c r="AF32" s="76">
        <v>10.0</v>
      </c>
      <c r="AG32" s="76">
        <v>10.0</v>
      </c>
      <c r="AH32" s="76">
        <v>10.0</v>
      </c>
      <c r="AI32" s="76">
        <v>10.0</v>
      </c>
      <c r="AJ32" s="51"/>
      <c r="AK32" s="53">
        <v>8.0</v>
      </c>
      <c r="AL32" s="53">
        <v>8.0</v>
      </c>
      <c r="AM32" s="53">
        <v>10.0</v>
      </c>
      <c r="AN32" s="51"/>
      <c r="AO32" s="53">
        <v>10.0</v>
      </c>
      <c r="AP32" s="51"/>
      <c r="AQ32" s="51"/>
    </row>
    <row r="33" ht="12.0" customHeight="1">
      <c r="A33" s="54" t="s">
        <v>70</v>
      </c>
      <c r="B33" s="54" t="s">
        <v>70</v>
      </c>
      <c r="C33" s="54">
        <v>8.0</v>
      </c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4"/>
      <c r="AC33" s="54"/>
      <c r="AD33" s="54"/>
      <c r="AE33" s="54"/>
      <c r="AF33" s="54">
        <v>33.0</v>
      </c>
      <c r="AG33" s="54">
        <v>34.0</v>
      </c>
      <c r="AH33" s="54">
        <v>35.0</v>
      </c>
      <c r="AI33" s="54">
        <v>36.0</v>
      </c>
      <c r="AJ33" s="54">
        <v>30.0</v>
      </c>
      <c r="AK33" s="54">
        <v>30.0</v>
      </c>
      <c r="AL33" s="54"/>
      <c r="AM33" s="54">
        <v>30.0</v>
      </c>
      <c r="AN33" s="54">
        <v>32.0</v>
      </c>
      <c r="AO33" s="54">
        <v>34.0</v>
      </c>
      <c r="AP33" s="54"/>
      <c r="AQ33" s="54">
        <v>31.0</v>
      </c>
    </row>
    <row r="34" ht="12.0" customHeight="1">
      <c r="A34" s="56"/>
      <c r="B34" s="56"/>
      <c r="C34" s="57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>
        <v>6.0</v>
      </c>
      <c r="AG34" s="56">
        <v>6.0</v>
      </c>
      <c r="AH34" s="56">
        <v>6.0</v>
      </c>
      <c r="AI34" s="56">
        <v>6.0</v>
      </c>
      <c r="AJ34" s="56">
        <v>6.0</v>
      </c>
      <c r="AK34" s="56">
        <v>8.0</v>
      </c>
      <c r="AL34" s="57"/>
      <c r="AM34" s="56">
        <v>6.0</v>
      </c>
      <c r="AN34" s="56">
        <v>6.0</v>
      </c>
      <c r="AO34" s="56">
        <v>6.0</v>
      </c>
      <c r="AP34" s="57"/>
      <c r="AQ34" s="57"/>
    </row>
    <row r="35" ht="12.0" customHeight="1">
      <c r="A35" s="56"/>
      <c r="B35" s="56"/>
      <c r="C35" s="57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>
        <v>6.0</v>
      </c>
      <c r="AG35" s="56">
        <v>6.0</v>
      </c>
      <c r="AH35" s="56">
        <v>6.0</v>
      </c>
      <c r="AI35" s="56">
        <v>6.0</v>
      </c>
      <c r="AJ35" s="57"/>
      <c r="AK35" s="57"/>
      <c r="AL35" s="57"/>
      <c r="AM35" s="56">
        <v>6.0</v>
      </c>
      <c r="AN35" s="56">
        <v>6.0</v>
      </c>
      <c r="AO35" s="56">
        <v>6.0</v>
      </c>
      <c r="AP35" s="57"/>
      <c r="AQ35" s="57"/>
    </row>
    <row r="36" ht="12.0" customHeight="1">
      <c r="A36" s="56"/>
      <c r="B36" s="56"/>
      <c r="C36" s="57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>
        <v>8.0</v>
      </c>
      <c r="AG36" s="56">
        <v>8.0</v>
      </c>
      <c r="AH36" s="56">
        <v>8.0</v>
      </c>
      <c r="AI36" s="56">
        <v>6.0</v>
      </c>
      <c r="AJ36" s="57"/>
      <c r="AK36" s="57"/>
      <c r="AL36" s="57"/>
      <c r="AM36" s="56">
        <v>6.0</v>
      </c>
      <c r="AN36" s="56">
        <v>6.0</v>
      </c>
      <c r="AO36" s="56">
        <v>6.0</v>
      </c>
      <c r="AP36" s="57"/>
      <c r="AQ36" s="57"/>
    </row>
    <row r="37" ht="12.0" customHeight="1">
      <c r="A37" s="54"/>
      <c r="B37" s="54" t="s">
        <v>71</v>
      </c>
      <c r="C37" s="54">
        <v>8.0</v>
      </c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5"/>
      <c r="AK37" s="55"/>
      <c r="AL37" s="55"/>
      <c r="AM37" s="54"/>
      <c r="AN37" s="54">
        <v>30.0</v>
      </c>
      <c r="AO37" s="54">
        <v>40.0</v>
      </c>
      <c r="AP37" s="55"/>
      <c r="AQ37" s="54">
        <v>40.0</v>
      </c>
    </row>
    <row r="38" ht="12.0" customHeight="1">
      <c r="A38" s="56"/>
      <c r="B38" s="56"/>
      <c r="C38" s="57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7"/>
      <c r="AK38" s="57"/>
      <c r="AL38" s="57"/>
      <c r="AM38" s="56"/>
      <c r="AN38" s="56">
        <v>2.0</v>
      </c>
      <c r="AO38" s="56">
        <v>2.0</v>
      </c>
      <c r="AP38" s="57"/>
      <c r="AQ38" s="57"/>
    </row>
    <row r="39" ht="12.0" customHeight="1">
      <c r="A39" s="56"/>
      <c r="B39" s="56"/>
      <c r="C39" s="57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7"/>
      <c r="AK39" s="57"/>
      <c r="AL39" s="57"/>
      <c r="AM39" s="56"/>
      <c r="AN39" s="56">
        <v>2.0</v>
      </c>
      <c r="AO39" s="57"/>
      <c r="AP39" s="57"/>
      <c r="AQ39" s="57"/>
    </row>
    <row r="40" ht="12.0" customHeight="1">
      <c r="A40" s="56"/>
      <c r="B40" s="56"/>
      <c r="C40" s="57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7"/>
      <c r="AK40" s="57"/>
      <c r="AL40" s="57"/>
      <c r="AM40" s="56"/>
      <c r="AN40" s="56">
        <v>3.0</v>
      </c>
      <c r="AO40" s="57"/>
      <c r="AP40" s="57"/>
      <c r="AQ40" s="57"/>
    </row>
    <row r="41" ht="12.0" customHeight="1">
      <c r="A41" s="54" t="s">
        <v>57</v>
      </c>
      <c r="B41" s="54" t="s">
        <v>72</v>
      </c>
      <c r="C41" s="55"/>
      <c r="D41" s="54">
        <v>5.0</v>
      </c>
      <c r="E41" s="54">
        <v>5.0</v>
      </c>
      <c r="F41" s="54">
        <v>5.0</v>
      </c>
      <c r="G41" s="54">
        <v>5.0</v>
      </c>
      <c r="H41" s="54">
        <v>5.0</v>
      </c>
      <c r="I41" s="54">
        <v>5.0</v>
      </c>
      <c r="J41" s="54">
        <v>5.0</v>
      </c>
      <c r="K41" s="54">
        <v>5.0</v>
      </c>
      <c r="L41" s="54">
        <v>5.0</v>
      </c>
      <c r="M41" s="54">
        <v>5.0</v>
      </c>
      <c r="N41" s="54">
        <v>5.0</v>
      </c>
      <c r="O41" s="54">
        <v>5.5</v>
      </c>
      <c r="P41" s="54">
        <v>5.5</v>
      </c>
      <c r="Q41" s="54">
        <v>5.5</v>
      </c>
      <c r="R41" s="54">
        <v>5.5</v>
      </c>
      <c r="S41" s="54">
        <v>5.5</v>
      </c>
      <c r="T41" s="54">
        <v>6.0</v>
      </c>
      <c r="U41" s="54">
        <v>6.0</v>
      </c>
      <c r="V41" s="54">
        <v>6.0</v>
      </c>
      <c r="W41" s="54">
        <v>6.0</v>
      </c>
      <c r="X41" s="54">
        <v>6.0</v>
      </c>
      <c r="Y41" s="54">
        <v>6.5</v>
      </c>
      <c r="Z41" s="54">
        <v>6.5</v>
      </c>
      <c r="AA41" s="54">
        <v>6.5</v>
      </c>
      <c r="AB41" s="54">
        <v>6.5</v>
      </c>
      <c r="AC41" s="54">
        <v>6.5</v>
      </c>
      <c r="AD41" s="54">
        <v>6.5</v>
      </c>
      <c r="AE41" s="54">
        <v>6.5</v>
      </c>
      <c r="AF41" s="54">
        <v>6.5</v>
      </c>
      <c r="AG41" s="55"/>
      <c r="AH41" s="54">
        <v>6.5</v>
      </c>
      <c r="AI41" s="54">
        <v>7.0</v>
      </c>
      <c r="AJ41" s="54"/>
      <c r="AK41" s="54"/>
      <c r="AL41" s="54">
        <v>7.0</v>
      </c>
      <c r="AM41" s="54">
        <v>5.0</v>
      </c>
      <c r="AN41" s="54">
        <v>5.0</v>
      </c>
      <c r="AO41" s="54">
        <v>7.0</v>
      </c>
      <c r="AP41" s="54"/>
      <c r="AQ41" s="55"/>
    </row>
    <row r="42" ht="12.0" customHeight="1">
      <c r="A42" s="51"/>
      <c r="B42" s="51"/>
      <c r="C42" s="51"/>
      <c r="D42" s="53">
        <v>10.0</v>
      </c>
      <c r="E42" s="53">
        <v>11.0</v>
      </c>
      <c r="F42" s="53">
        <v>12.0</v>
      </c>
      <c r="G42" s="53">
        <v>13.0</v>
      </c>
      <c r="H42" s="53">
        <v>14.0</v>
      </c>
      <c r="I42" s="53">
        <v>15.0</v>
      </c>
      <c r="J42" s="53">
        <v>16.0</v>
      </c>
      <c r="K42" s="53">
        <v>17.0</v>
      </c>
      <c r="L42" s="53">
        <v>18.0</v>
      </c>
      <c r="M42" s="53">
        <v>19.0</v>
      </c>
      <c r="N42" s="53">
        <v>20.0</v>
      </c>
      <c r="O42" s="53">
        <v>12.0</v>
      </c>
      <c r="P42" s="53">
        <v>13.0</v>
      </c>
      <c r="Q42" s="53">
        <v>14.0</v>
      </c>
      <c r="R42" s="53">
        <v>15.0</v>
      </c>
      <c r="S42" s="53">
        <v>16.0</v>
      </c>
      <c r="T42" s="53">
        <v>12.0</v>
      </c>
      <c r="U42" s="53">
        <v>13.0</v>
      </c>
      <c r="V42" s="53">
        <v>14.0</v>
      </c>
      <c r="W42" s="53">
        <v>15.0</v>
      </c>
      <c r="X42" s="53">
        <v>17.0</v>
      </c>
      <c r="Y42" s="53">
        <v>12.0</v>
      </c>
      <c r="Z42" s="53">
        <v>13.0</v>
      </c>
      <c r="AA42" s="53">
        <v>14.0</v>
      </c>
      <c r="AB42" s="53">
        <v>15.0</v>
      </c>
      <c r="AC42" s="53">
        <v>16.0</v>
      </c>
      <c r="AD42" s="53">
        <v>17.0</v>
      </c>
      <c r="AE42" s="53">
        <v>18.0</v>
      </c>
      <c r="AF42" s="53">
        <v>19.0</v>
      </c>
      <c r="AG42" s="51"/>
      <c r="AH42" s="53">
        <v>20.0</v>
      </c>
      <c r="AI42" s="53">
        <v>10.0</v>
      </c>
      <c r="AJ42" s="51"/>
      <c r="AK42" s="51"/>
      <c r="AL42" s="53">
        <v>12.0</v>
      </c>
      <c r="AM42" s="53">
        <v>15.0</v>
      </c>
      <c r="AN42" s="53">
        <v>15.0</v>
      </c>
      <c r="AO42" s="53">
        <v>20.0</v>
      </c>
      <c r="AP42" s="51"/>
      <c r="AQ42" s="51"/>
    </row>
    <row r="43" ht="12.0" customHeight="1">
      <c r="A43" s="51"/>
      <c r="B43" s="51"/>
      <c r="C43" s="51"/>
      <c r="D43" s="53">
        <v>10.0</v>
      </c>
      <c r="E43" s="53">
        <v>11.0</v>
      </c>
      <c r="F43" s="53">
        <v>12.0</v>
      </c>
      <c r="G43" s="53">
        <v>13.0</v>
      </c>
      <c r="H43" s="53">
        <v>14.0</v>
      </c>
      <c r="I43" s="53">
        <v>15.0</v>
      </c>
      <c r="J43" s="53">
        <v>16.0</v>
      </c>
      <c r="K43" s="53">
        <v>17.0</v>
      </c>
      <c r="L43" s="53">
        <v>18.0</v>
      </c>
      <c r="M43" s="53">
        <v>19.0</v>
      </c>
      <c r="N43" s="53">
        <v>20.0</v>
      </c>
      <c r="O43" s="53">
        <v>12.0</v>
      </c>
      <c r="P43" s="53">
        <v>13.0</v>
      </c>
      <c r="Q43" s="53">
        <v>14.0</v>
      </c>
      <c r="R43" s="53">
        <v>15.0</v>
      </c>
      <c r="S43" s="53">
        <v>16.0</v>
      </c>
      <c r="T43" s="53">
        <v>12.0</v>
      </c>
      <c r="U43" s="53">
        <v>13.0</v>
      </c>
      <c r="V43" s="53">
        <v>14.0</v>
      </c>
      <c r="W43" s="53">
        <v>15.0</v>
      </c>
      <c r="X43" s="53">
        <v>17.0</v>
      </c>
      <c r="Y43" s="53">
        <v>12.0</v>
      </c>
      <c r="Z43" s="53">
        <v>13.0</v>
      </c>
      <c r="AA43" s="53">
        <v>14.0</v>
      </c>
      <c r="AB43" s="53">
        <v>15.0</v>
      </c>
      <c r="AC43" s="53">
        <v>16.0</v>
      </c>
      <c r="AD43" s="53">
        <v>17.0</v>
      </c>
      <c r="AE43" s="53">
        <v>18.0</v>
      </c>
      <c r="AF43" s="53">
        <v>19.0</v>
      </c>
      <c r="AG43" s="51"/>
      <c r="AH43" s="53">
        <v>20.0</v>
      </c>
      <c r="AI43" s="53">
        <v>10.0</v>
      </c>
      <c r="AJ43" s="51"/>
      <c r="AK43" s="51"/>
      <c r="AL43" s="53">
        <v>12.0</v>
      </c>
      <c r="AM43" s="53">
        <v>15.0</v>
      </c>
      <c r="AN43" s="53">
        <v>15.0</v>
      </c>
      <c r="AO43" s="51"/>
      <c r="AP43" s="51"/>
      <c r="AQ43" s="51"/>
    </row>
    <row r="44" ht="12.0" customHeight="1">
      <c r="A44" s="51"/>
      <c r="B44" s="51"/>
      <c r="C44" s="51"/>
      <c r="D44" s="53">
        <v>10.0</v>
      </c>
      <c r="E44" s="53">
        <v>11.0</v>
      </c>
      <c r="F44" s="53">
        <v>12.0</v>
      </c>
      <c r="G44" s="53">
        <v>13.0</v>
      </c>
      <c r="H44" s="53">
        <v>14.0</v>
      </c>
      <c r="I44" s="53">
        <v>15.0</v>
      </c>
      <c r="J44" s="53">
        <v>16.0</v>
      </c>
      <c r="K44" s="53">
        <v>17.0</v>
      </c>
      <c r="L44" s="53">
        <v>18.0</v>
      </c>
      <c r="M44" s="53">
        <v>19.0</v>
      </c>
      <c r="N44" s="53">
        <v>20.0</v>
      </c>
      <c r="O44" s="53">
        <v>12.0</v>
      </c>
      <c r="P44" s="53">
        <v>13.0</v>
      </c>
      <c r="Q44" s="53">
        <v>14.0</v>
      </c>
      <c r="R44" s="53">
        <v>15.0</v>
      </c>
      <c r="S44" s="53">
        <v>16.0</v>
      </c>
      <c r="T44" s="53">
        <v>12.0</v>
      </c>
      <c r="U44" s="53">
        <v>13.0</v>
      </c>
      <c r="V44" s="53">
        <v>14.0</v>
      </c>
      <c r="W44" s="53">
        <v>15.0</v>
      </c>
      <c r="X44" s="53">
        <v>17.0</v>
      </c>
      <c r="Y44" s="53">
        <v>12.0</v>
      </c>
      <c r="Z44" s="53">
        <v>13.0</v>
      </c>
      <c r="AA44" s="53">
        <v>14.0</v>
      </c>
      <c r="AB44" s="53">
        <v>15.0</v>
      </c>
      <c r="AC44" s="53">
        <v>16.0</v>
      </c>
      <c r="AD44" s="53">
        <v>17.0</v>
      </c>
      <c r="AE44" s="53">
        <v>18.0</v>
      </c>
      <c r="AF44" s="53">
        <v>19.0</v>
      </c>
      <c r="AG44" s="51"/>
      <c r="AH44" s="53">
        <v>20.0</v>
      </c>
      <c r="AI44" s="53">
        <v>10.0</v>
      </c>
      <c r="AJ44" s="51"/>
      <c r="AK44" s="51"/>
      <c r="AL44" s="53">
        <v>12.0</v>
      </c>
      <c r="AM44" s="53">
        <v>15.0</v>
      </c>
      <c r="AN44" s="53">
        <v>20.0</v>
      </c>
      <c r="AO44" s="51"/>
      <c r="AP44" s="51"/>
      <c r="AQ44" s="51"/>
    </row>
    <row r="45" ht="12.0" customHeight="1">
      <c r="A45" s="54" t="s">
        <v>58</v>
      </c>
      <c r="B45" s="54" t="s">
        <v>73</v>
      </c>
      <c r="C45" s="55"/>
      <c r="D45" s="54">
        <v>5.0</v>
      </c>
      <c r="E45" s="54">
        <v>5.0</v>
      </c>
      <c r="F45" s="54">
        <v>5.0</v>
      </c>
      <c r="G45" s="54">
        <v>5.0</v>
      </c>
      <c r="H45" s="54">
        <v>5.0</v>
      </c>
      <c r="I45" s="54">
        <v>5.0</v>
      </c>
      <c r="J45" s="54">
        <v>5.0</v>
      </c>
      <c r="K45" s="54">
        <v>5.0</v>
      </c>
      <c r="L45" s="54">
        <v>5.0</v>
      </c>
      <c r="M45" s="54">
        <v>5.0</v>
      </c>
      <c r="N45" s="54">
        <v>5.0</v>
      </c>
      <c r="O45" s="54">
        <v>6.0</v>
      </c>
      <c r="P45" s="54">
        <v>6.0</v>
      </c>
      <c r="Q45" s="54">
        <v>6.0</v>
      </c>
      <c r="R45" s="54">
        <v>6.0</v>
      </c>
      <c r="S45" s="54">
        <v>6.0</v>
      </c>
      <c r="T45" s="54">
        <v>6.0</v>
      </c>
      <c r="U45" s="54">
        <v>6.0</v>
      </c>
      <c r="V45" s="54">
        <v>6.0</v>
      </c>
      <c r="W45" s="54">
        <v>6.0</v>
      </c>
      <c r="X45" s="54">
        <v>6.0</v>
      </c>
      <c r="Y45" s="54">
        <v>6.5</v>
      </c>
      <c r="Z45" s="54">
        <v>6.5</v>
      </c>
      <c r="AA45" s="54">
        <v>6.5</v>
      </c>
      <c r="AB45" s="54">
        <v>6.5</v>
      </c>
      <c r="AC45" s="54">
        <v>6.5</v>
      </c>
      <c r="AD45" s="54">
        <v>6.5</v>
      </c>
      <c r="AE45" s="54">
        <v>6.5</v>
      </c>
      <c r="AF45" s="55"/>
      <c r="AG45" s="55"/>
      <c r="AH45" s="54">
        <v>6.5</v>
      </c>
      <c r="AI45" s="54">
        <v>7.0</v>
      </c>
      <c r="AJ45" s="54"/>
      <c r="AK45" s="54"/>
      <c r="AL45" s="54">
        <v>7.0</v>
      </c>
      <c r="AM45" s="54">
        <v>5.0</v>
      </c>
      <c r="AN45" s="54">
        <v>5.0</v>
      </c>
      <c r="AO45" s="54">
        <v>5.0</v>
      </c>
      <c r="AP45" s="54"/>
      <c r="AQ45" s="55"/>
    </row>
    <row r="46" ht="12.0" customHeight="1">
      <c r="A46" s="51"/>
      <c r="B46" s="51"/>
      <c r="C46" s="51"/>
      <c r="D46" s="53">
        <v>15.0</v>
      </c>
      <c r="E46" s="53">
        <v>16.0</v>
      </c>
      <c r="F46" s="53">
        <v>16.0</v>
      </c>
      <c r="G46" s="53">
        <v>16.0</v>
      </c>
      <c r="H46" s="53">
        <v>17.0</v>
      </c>
      <c r="I46" s="53">
        <v>15.0</v>
      </c>
      <c r="J46" s="53">
        <v>17.0</v>
      </c>
      <c r="K46" s="53">
        <v>17.0</v>
      </c>
      <c r="L46" s="53">
        <v>18.0</v>
      </c>
      <c r="M46" s="53">
        <v>18.0</v>
      </c>
      <c r="N46" s="53">
        <v>18.0</v>
      </c>
      <c r="O46" s="53">
        <v>10.0</v>
      </c>
      <c r="P46" s="53">
        <v>11.0</v>
      </c>
      <c r="Q46" s="53">
        <v>12.0</v>
      </c>
      <c r="R46" s="53">
        <v>13.0</v>
      </c>
      <c r="S46" s="53">
        <v>13.0</v>
      </c>
      <c r="T46" s="53">
        <v>14.0</v>
      </c>
      <c r="U46" s="53">
        <v>14.0</v>
      </c>
      <c r="V46" s="53">
        <v>14.0</v>
      </c>
      <c r="W46" s="53">
        <v>15.0</v>
      </c>
      <c r="X46" s="53">
        <v>15.0</v>
      </c>
      <c r="Y46" s="53">
        <v>10.0</v>
      </c>
      <c r="Z46" s="53">
        <v>11.0</v>
      </c>
      <c r="AA46" s="53">
        <v>11.0</v>
      </c>
      <c r="AB46" s="53">
        <v>12.0</v>
      </c>
      <c r="AC46" s="53">
        <v>13.0</v>
      </c>
      <c r="AD46" s="53">
        <v>13.0</v>
      </c>
      <c r="AE46" s="53">
        <v>14.0</v>
      </c>
      <c r="AF46" s="51"/>
      <c r="AG46" s="51"/>
      <c r="AH46" s="53">
        <v>15.0</v>
      </c>
      <c r="AI46" s="53">
        <v>8.0</v>
      </c>
      <c r="AJ46" s="51"/>
      <c r="AK46" s="51"/>
      <c r="AL46" s="53">
        <v>8.0</v>
      </c>
      <c r="AM46" s="53">
        <v>15.0</v>
      </c>
      <c r="AN46" s="53">
        <v>15.0</v>
      </c>
      <c r="AO46" s="53">
        <v>30.0</v>
      </c>
      <c r="AP46" s="51"/>
      <c r="AQ46" s="51"/>
    </row>
    <row r="47" ht="12.0" customHeight="1">
      <c r="A47" s="51"/>
      <c r="B47" s="51"/>
      <c r="C47" s="51"/>
      <c r="D47" s="53">
        <v>15.0</v>
      </c>
      <c r="E47" s="53">
        <v>15.0</v>
      </c>
      <c r="F47" s="53">
        <v>16.0</v>
      </c>
      <c r="G47" s="53">
        <v>16.0</v>
      </c>
      <c r="H47" s="53">
        <v>16.0</v>
      </c>
      <c r="I47" s="53">
        <v>15.0</v>
      </c>
      <c r="J47" s="53">
        <v>17.0</v>
      </c>
      <c r="K47" s="53">
        <v>17.0</v>
      </c>
      <c r="L47" s="53">
        <v>17.0</v>
      </c>
      <c r="M47" s="53">
        <v>18.0</v>
      </c>
      <c r="N47" s="53">
        <v>18.0</v>
      </c>
      <c r="O47" s="53">
        <v>10.0</v>
      </c>
      <c r="P47" s="53">
        <v>11.0</v>
      </c>
      <c r="Q47" s="53">
        <v>12.0</v>
      </c>
      <c r="R47" s="53">
        <v>13.0</v>
      </c>
      <c r="S47" s="53">
        <v>13.0</v>
      </c>
      <c r="T47" s="53">
        <v>13.0</v>
      </c>
      <c r="U47" s="53">
        <v>14.0</v>
      </c>
      <c r="V47" s="53">
        <v>14.0</v>
      </c>
      <c r="W47" s="53">
        <v>15.0</v>
      </c>
      <c r="X47" s="53">
        <v>15.0</v>
      </c>
      <c r="Y47" s="53">
        <v>10.0</v>
      </c>
      <c r="Z47" s="53">
        <v>11.0</v>
      </c>
      <c r="AA47" s="53">
        <v>11.0</v>
      </c>
      <c r="AB47" s="53">
        <v>12.0</v>
      </c>
      <c r="AC47" s="53">
        <v>13.0</v>
      </c>
      <c r="AD47" s="53">
        <v>13.0</v>
      </c>
      <c r="AE47" s="53">
        <v>14.0</v>
      </c>
      <c r="AF47" s="51"/>
      <c r="AG47" s="51"/>
      <c r="AH47" s="53">
        <v>15.0</v>
      </c>
      <c r="AI47" s="53">
        <v>8.0</v>
      </c>
      <c r="AJ47" s="51"/>
      <c r="AK47" s="51"/>
      <c r="AL47" s="53">
        <v>8.0</v>
      </c>
      <c r="AM47" s="53">
        <v>15.0</v>
      </c>
      <c r="AN47" s="53">
        <v>15.0</v>
      </c>
      <c r="AO47" s="51"/>
      <c r="AP47" s="51"/>
      <c r="AQ47" s="51"/>
    </row>
    <row r="48" ht="12.0" customHeight="1">
      <c r="A48" s="51"/>
      <c r="B48" s="51"/>
      <c r="C48" s="51"/>
      <c r="D48" s="53">
        <v>15.0</v>
      </c>
      <c r="E48" s="53">
        <v>15.0</v>
      </c>
      <c r="F48" s="53">
        <v>15.0</v>
      </c>
      <c r="G48" s="53">
        <v>16.0</v>
      </c>
      <c r="H48" s="53">
        <v>16.0</v>
      </c>
      <c r="I48" s="53">
        <v>15.0</v>
      </c>
      <c r="J48" s="53">
        <v>16.0</v>
      </c>
      <c r="K48" s="53">
        <v>17.0</v>
      </c>
      <c r="L48" s="53">
        <v>17.0</v>
      </c>
      <c r="M48" s="53">
        <v>17.0</v>
      </c>
      <c r="N48" s="53">
        <v>18.0</v>
      </c>
      <c r="O48" s="53">
        <v>10.0</v>
      </c>
      <c r="P48" s="53">
        <v>11.0</v>
      </c>
      <c r="Q48" s="53">
        <v>12.0</v>
      </c>
      <c r="R48" s="53">
        <v>12.0</v>
      </c>
      <c r="S48" s="53">
        <v>13.0</v>
      </c>
      <c r="T48" s="53">
        <v>12.0</v>
      </c>
      <c r="U48" s="53">
        <v>12.0</v>
      </c>
      <c r="V48" s="53">
        <v>14.0</v>
      </c>
      <c r="W48" s="53">
        <v>13.0</v>
      </c>
      <c r="X48" s="53">
        <v>15.0</v>
      </c>
      <c r="Y48" s="53">
        <v>10.0</v>
      </c>
      <c r="Z48" s="53">
        <v>10.0</v>
      </c>
      <c r="AA48" s="53">
        <v>11.0</v>
      </c>
      <c r="AB48" s="53">
        <v>12.0</v>
      </c>
      <c r="AC48" s="53">
        <v>12.0</v>
      </c>
      <c r="AD48" s="53">
        <v>13.0</v>
      </c>
      <c r="AE48" s="53">
        <v>14.0</v>
      </c>
      <c r="AF48" s="51"/>
      <c r="AG48" s="51"/>
      <c r="AH48" s="53">
        <v>15.0</v>
      </c>
      <c r="AI48" s="53">
        <v>8.0</v>
      </c>
      <c r="AJ48" s="51"/>
      <c r="AK48" s="51"/>
      <c r="AL48" s="53">
        <v>8.0</v>
      </c>
      <c r="AM48" s="53">
        <v>15.0</v>
      </c>
      <c r="AN48" s="53">
        <v>15.0</v>
      </c>
      <c r="AO48" s="51"/>
      <c r="AP48" s="51"/>
      <c r="AQ48" s="51"/>
    </row>
    <row r="49" ht="12.0" customHeight="1">
      <c r="A49" s="54" t="s">
        <v>59</v>
      </c>
      <c r="B49" s="54" t="s">
        <v>59</v>
      </c>
      <c r="C49" s="55"/>
      <c r="D49" s="54">
        <v>10.0</v>
      </c>
      <c r="E49" s="54">
        <v>10.0</v>
      </c>
      <c r="F49" s="54">
        <v>10.0</v>
      </c>
      <c r="G49" s="54">
        <v>10.0</v>
      </c>
      <c r="H49" s="54">
        <v>10.0</v>
      </c>
      <c r="I49" s="54">
        <v>10.0</v>
      </c>
      <c r="J49" s="54">
        <v>10.0</v>
      </c>
      <c r="K49" s="54">
        <v>10.0</v>
      </c>
      <c r="L49" s="54">
        <v>11.0</v>
      </c>
      <c r="M49" s="54">
        <v>11.0</v>
      </c>
      <c r="N49" s="54">
        <v>11.0</v>
      </c>
      <c r="O49" s="54">
        <v>11.0</v>
      </c>
      <c r="P49" s="54">
        <v>12.0</v>
      </c>
      <c r="Q49" s="54">
        <v>12.0</v>
      </c>
      <c r="R49" s="54">
        <v>12.0</v>
      </c>
      <c r="S49" s="54">
        <v>12.0</v>
      </c>
      <c r="T49" s="54">
        <v>13.0</v>
      </c>
      <c r="U49" s="54">
        <v>13.0</v>
      </c>
      <c r="V49" s="54">
        <v>13.0</v>
      </c>
      <c r="W49" s="54">
        <v>13.0</v>
      </c>
      <c r="X49" s="54">
        <v>13.0</v>
      </c>
      <c r="Y49" s="54">
        <v>13.0</v>
      </c>
      <c r="Z49" s="54">
        <v>13.0</v>
      </c>
      <c r="AA49" s="54">
        <v>13.0</v>
      </c>
      <c r="AB49" s="54">
        <v>15.0</v>
      </c>
      <c r="AC49" s="54">
        <v>15.0</v>
      </c>
      <c r="AD49" s="54">
        <v>14.0</v>
      </c>
      <c r="AE49" s="54">
        <v>14.0</v>
      </c>
      <c r="AF49" s="55"/>
      <c r="AG49" s="55"/>
      <c r="AH49" s="54">
        <v>13.0</v>
      </c>
      <c r="AI49" s="54">
        <v>13.0</v>
      </c>
      <c r="AJ49" s="54"/>
      <c r="AK49" s="54"/>
      <c r="AL49" s="54">
        <v>13.0</v>
      </c>
      <c r="AM49" s="54">
        <v>10.0</v>
      </c>
      <c r="AN49" s="54"/>
      <c r="AO49" s="54">
        <v>12.0</v>
      </c>
      <c r="AP49" s="54"/>
      <c r="AQ49" s="55"/>
    </row>
    <row r="50" ht="12.0" customHeight="1">
      <c r="A50" s="51"/>
      <c r="B50" s="51"/>
      <c r="C50" s="51"/>
      <c r="D50" s="53">
        <v>15.0</v>
      </c>
      <c r="E50" s="53">
        <v>16.0</v>
      </c>
      <c r="F50" s="53">
        <v>16.0</v>
      </c>
      <c r="G50" s="53">
        <v>16.0</v>
      </c>
      <c r="H50" s="53">
        <v>16.0</v>
      </c>
      <c r="I50" s="53">
        <v>15.0</v>
      </c>
      <c r="J50" s="53">
        <v>17.0</v>
      </c>
      <c r="K50" s="53">
        <v>18.0</v>
      </c>
      <c r="L50" s="53">
        <v>15.0</v>
      </c>
      <c r="M50" s="53">
        <v>16.0</v>
      </c>
      <c r="N50" s="53">
        <v>17.0</v>
      </c>
      <c r="O50" s="53">
        <v>18.0</v>
      </c>
      <c r="P50" s="53">
        <v>12.0</v>
      </c>
      <c r="Q50" s="53">
        <v>13.0</v>
      </c>
      <c r="R50" s="53">
        <v>14.0</v>
      </c>
      <c r="S50" s="53">
        <v>15.0</v>
      </c>
      <c r="T50" s="53">
        <v>10.0</v>
      </c>
      <c r="U50" s="53">
        <v>11.0</v>
      </c>
      <c r="V50" s="53">
        <v>12.0</v>
      </c>
      <c r="W50" s="53">
        <v>13.0</v>
      </c>
      <c r="X50" s="53">
        <v>14.0</v>
      </c>
      <c r="Y50" s="53">
        <v>15.0</v>
      </c>
      <c r="Z50" s="53">
        <v>15.0</v>
      </c>
      <c r="AA50" s="53">
        <v>15.0</v>
      </c>
      <c r="AB50" s="53">
        <v>10.0</v>
      </c>
      <c r="AC50" s="53">
        <v>11.0</v>
      </c>
      <c r="AD50" s="53">
        <v>10.0</v>
      </c>
      <c r="AE50" s="53">
        <v>10.0</v>
      </c>
      <c r="AF50" s="51"/>
      <c r="AG50" s="51"/>
      <c r="AH50" s="53">
        <v>10.0</v>
      </c>
      <c r="AI50" s="53">
        <v>12.0</v>
      </c>
      <c r="AJ50" s="51"/>
      <c r="AK50" s="51"/>
      <c r="AL50" s="53">
        <v>10.0</v>
      </c>
      <c r="AM50" s="53">
        <v>10.0</v>
      </c>
      <c r="AN50" s="51"/>
      <c r="AO50" s="53">
        <v>20.0</v>
      </c>
      <c r="AP50" s="51"/>
      <c r="AQ50" s="51"/>
    </row>
    <row r="51" ht="12.0" customHeight="1">
      <c r="A51" s="51"/>
      <c r="B51" s="51"/>
      <c r="C51" s="51"/>
      <c r="D51" s="53">
        <v>15.0</v>
      </c>
      <c r="E51" s="53">
        <v>16.0</v>
      </c>
      <c r="F51" s="53">
        <v>16.0</v>
      </c>
      <c r="G51" s="53">
        <v>16.0</v>
      </c>
      <c r="H51" s="53">
        <v>16.0</v>
      </c>
      <c r="I51" s="53">
        <v>15.0</v>
      </c>
      <c r="J51" s="53">
        <v>17.0</v>
      </c>
      <c r="K51" s="53">
        <v>18.0</v>
      </c>
      <c r="L51" s="53">
        <v>15.0</v>
      </c>
      <c r="M51" s="53">
        <v>16.0</v>
      </c>
      <c r="N51" s="53">
        <v>17.0</v>
      </c>
      <c r="O51" s="53">
        <v>18.0</v>
      </c>
      <c r="P51" s="53">
        <v>12.0</v>
      </c>
      <c r="Q51" s="53">
        <v>13.0</v>
      </c>
      <c r="R51" s="53">
        <v>14.0</v>
      </c>
      <c r="S51" s="53">
        <v>15.0</v>
      </c>
      <c r="T51" s="53">
        <v>10.0</v>
      </c>
      <c r="U51" s="53">
        <v>11.0</v>
      </c>
      <c r="V51" s="53">
        <v>12.0</v>
      </c>
      <c r="W51" s="53">
        <v>13.0</v>
      </c>
      <c r="X51" s="53">
        <v>14.0</v>
      </c>
      <c r="Y51" s="53">
        <v>15.0</v>
      </c>
      <c r="Z51" s="53">
        <v>15.0</v>
      </c>
      <c r="AA51" s="53">
        <v>15.0</v>
      </c>
      <c r="AB51" s="53">
        <v>10.0</v>
      </c>
      <c r="AC51" s="53">
        <v>11.0</v>
      </c>
      <c r="AD51" s="53">
        <v>10.0</v>
      </c>
      <c r="AE51" s="53">
        <v>10.0</v>
      </c>
      <c r="AF51" s="51"/>
      <c r="AG51" s="51"/>
      <c r="AH51" s="53">
        <v>10.0</v>
      </c>
      <c r="AI51" s="53">
        <v>12.0</v>
      </c>
      <c r="AJ51" s="51"/>
      <c r="AK51" s="51"/>
      <c r="AL51" s="53">
        <v>10.0</v>
      </c>
      <c r="AM51" s="51"/>
      <c r="AN51" s="51"/>
      <c r="AO51" s="51"/>
      <c r="AP51" s="51"/>
      <c r="AQ51" s="51"/>
    </row>
    <row r="52" ht="12.0" customHeight="1">
      <c r="A52" s="51"/>
      <c r="B52" s="51"/>
      <c r="C52" s="51"/>
      <c r="D52" s="53">
        <v>15.0</v>
      </c>
      <c r="E52" s="53">
        <v>16.0</v>
      </c>
      <c r="F52" s="53">
        <v>16.0</v>
      </c>
      <c r="G52" s="53">
        <v>16.0</v>
      </c>
      <c r="H52" s="53">
        <v>16.0</v>
      </c>
      <c r="I52" s="53">
        <v>15.0</v>
      </c>
      <c r="J52" s="53">
        <v>17.0</v>
      </c>
      <c r="K52" s="53">
        <v>18.0</v>
      </c>
      <c r="L52" s="53">
        <v>15.0</v>
      </c>
      <c r="M52" s="53">
        <v>16.0</v>
      </c>
      <c r="N52" s="53">
        <v>17.0</v>
      </c>
      <c r="O52" s="53">
        <v>18.0</v>
      </c>
      <c r="P52" s="53">
        <v>12.0</v>
      </c>
      <c r="Q52" s="53">
        <v>13.0</v>
      </c>
      <c r="R52" s="53">
        <v>14.0</v>
      </c>
      <c r="S52" s="53">
        <v>15.0</v>
      </c>
      <c r="T52" s="53">
        <v>10.0</v>
      </c>
      <c r="U52" s="53">
        <v>11.0</v>
      </c>
      <c r="V52" s="53">
        <v>12.0</v>
      </c>
      <c r="W52" s="53">
        <v>13.0</v>
      </c>
      <c r="X52" s="53">
        <v>14.0</v>
      </c>
      <c r="Y52" s="53">
        <v>15.0</v>
      </c>
      <c r="Z52" s="53">
        <v>15.0</v>
      </c>
      <c r="AA52" s="53">
        <v>15.0</v>
      </c>
      <c r="AB52" s="53">
        <v>10.0</v>
      </c>
      <c r="AC52" s="53">
        <v>11.0</v>
      </c>
      <c r="AD52" s="53">
        <v>10.0</v>
      </c>
      <c r="AE52" s="53">
        <v>10.0</v>
      </c>
      <c r="AF52" s="51"/>
      <c r="AG52" s="51"/>
      <c r="AH52" s="53">
        <v>10.0</v>
      </c>
      <c r="AI52" s="53">
        <v>12.0</v>
      </c>
      <c r="AJ52" s="51"/>
      <c r="AK52" s="51"/>
      <c r="AL52" s="53">
        <v>10.0</v>
      </c>
      <c r="AM52" s="51"/>
      <c r="AN52" s="51"/>
      <c r="AO52" s="51"/>
      <c r="AP52" s="51"/>
      <c r="AQ52" s="51"/>
    </row>
    <row r="53" ht="12.0" customHeight="1">
      <c r="A53" s="51"/>
      <c r="B53" s="51"/>
      <c r="C53" s="51"/>
      <c r="D53" s="51"/>
      <c r="E53" s="51"/>
      <c r="F53" s="53">
        <v>16.0</v>
      </c>
      <c r="G53" s="51"/>
      <c r="H53" s="51"/>
      <c r="I53" s="51"/>
      <c r="J53" s="51"/>
      <c r="K53" s="53">
        <v>18.0</v>
      </c>
      <c r="L53" s="53">
        <v>15.0</v>
      </c>
      <c r="M53" s="53">
        <v>16.0</v>
      </c>
      <c r="N53" s="53">
        <v>17.0</v>
      </c>
      <c r="O53" s="53">
        <v>18.0</v>
      </c>
      <c r="P53" s="53">
        <v>12.0</v>
      </c>
      <c r="Q53" s="53">
        <v>13.0</v>
      </c>
      <c r="R53" s="53">
        <v>14.0</v>
      </c>
      <c r="S53" s="53">
        <v>15.0</v>
      </c>
      <c r="T53" s="53">
        <v>10.0</v>
      </c>
      <c r="U53" s="53">
        <v>11.0</v>
      </c>
      <c r="V53" s="53">
        <v>12.0</v>
      </c>
      <c r="W53" s="53">
        <v>13.0</v>
      </c>
      <c r="X53" s="53">
        <v>14.0</v>
      </c>
      <c r="Y53" s="51"/>
      <c r="Z53" s="77">
        <v>15.0</v>
      </c>
      <c r="AA53" s="51"/>
      <c r="AB53" s="53">
        <v>14.0</v>
      </c>
      <c r="AC53" s="51"/>
      <c r="AD53" s="51"/>
      <c r="AE53" s="51"/>
      <c r="AF53" s="51"/>
      <c r="AG53" s="51"/>
      <c r="AH53" s="53">
        <v>20.0</v>
      </c>
      <c r="AI53" s="51"/>
      <c r="AJ53" s="51"/>
      <c r="AK53" s="51"/>
      <c r="AL53" s="51"/>
      <c r="AM53" s="51"/>
      <c r="AN53" s="51"/>
      <c r="AO53" s="51"/>
      <c r="AP53" s="51"/>
      <c r="AQ53" s="51"/>
    </row>
    <row r="54">
      <c r="A54" s="3" t="s">
        <v>74</v>
      </c>
      <c r="B54" s="3" t="s">
        <v>62</v>
      </c>
      <c r="U54" s="59" t="s">
        <v>60</v>
      </c>
    </row>
    <row r="55">
      <c r="A55" s="15" t="s">
        <v>26</v>
      </c>
      <c r="B55" s="78"/>
      <c r="C55" s="60">
        <v>41.0</v>
      </c>
      <c r="AA55" s="79" t="s">
        <v>75</v>
      </c>
    </row>
    <row r="56">
      <c r="A56" s="15" t="s">
        <v>37</v>
      </c>
      <c r="B56" s="78"/>
      <c r="C56" s="60">
        <v>6.0</v>
      </c>
      <c r="AA56" s="80" t="s">
        <v>76</v>
      </c>
    </row>
    <row r="57">
      <c r="A57" s="15" t="s">
        <v>36</v>
      </c>
      <c r="B57" s="81"/>
      <c r="C57" s="43">
        <f>ROUND(IF(C56&lt;10,AVERAGE(C55/(1.0278-0.0278*C56),C55*C56^0.1),AVERAGE(C55*(1+0.0333*C56),C55*C56^0.1)),1)</f>
        <v>48.3</v>
      </c>
      <c r="AA57" s="80" t="s">
        <v>77</v>
      </c>
    </row>
    <row r="59">
      <c r="A59" s="61" t="s">
        <v>39</v>
      </c>
      <c r="B59" s="61"/>
      <c r="C59" s="61">
        <v>8.0</v>
      </c>
      <c r="D59" s="62" t="str">
        <f t="shared" ref="D59:AO59" si="1">IF(D4&gt;0,ROUND(IF(D$4&lt;10,AVERAGE((D$3+$C59)/(1.0278-0.0278*D$4),(D$3+$C59)*D$4^0.1),AVERAGE((D$3+$C59)*(1+0.0333*D$4),(D$3+$C59)*D$4^0.1)),1),"")</f>
        <v/>
      </c>
      <c r="E59" s="62" t="str">
        <f t="shared" si="1"/>
        <v/>
      </c>
      <c r="F59" s="62">
        <f t="shared" si="1"/>
        <v>57.3</v>
      </c>
      <c r="G59" s="62">
        <f t="shared" si="1"/>
        <v>60.3</v>
      </c>
      <c r="H59" s="62">
        <f t="shared" si="1"/>
        <v>63.3</v>
      </c>
      <c r="I59" s="62">
        <f t="shared" si="1"/>
        <v>60.4</v>
      </c>
      <c r="J59" s="62">
        <f t="shared" si="1"/>
        <v>61.8</v>
      </c>
      <c r="K59" s="62">
        <f t="shared" si="1"/>
        <v>63.2</v>
      </c>
      <c r="L59" s="62">
        <f t="shared" si="1"/>
        <v>64.6</v>
      </c>
      <c r="M59" s="62">
        <f t="shared" si="1"/>
        <v>66</v>
      </c>
      <c r="N59" s="62">
        <f t="shared" si="1"/>
        <v>67.5</v>
      </c>
      <c r="O59" s="62">
        <f t="shared" si="1"/>
        <v>68.9</v>
      </c>
      <c r="P59" s="62">
        <f t="shared" si="1"/>
        <v>70.3</v>
      </c>
      <c r="Q59" s="62">
        <f t="shared" si="1"/>
        <v>68.4</v>
      </c>
      <c r="R59" s="62">
        <f t="shared" si="1"/>
        <v>69.7</v>
      </c>
      <c r="S59" s="62">
        <f t="shared" si="1"/>
        <v>71.1</v>
      </c>
      <c r="T59" s="62">
        <f t="shared" si="1"/>
        <v>72.4</v>
      </c>
      <c r="U59" s="62">
        <f t="shared" si="1"/>
        <v>73.7</v>
      </c>
      <c r="V59" s="62">
        <f t="shared" si="1"/>
        <v>75.1</v>
      </c>
      <c r="W59" s="62">
        <f t="shared" si="1"/>
        <v>76.4</v>
      </c>
      <c r="X59" s="62">
        <f t="shared" si="1"/>
        <v>77.8</v>
      </c>
      <c r="Y59" s="62">
        <f t="shared" si="1"/>
        <v>79</v>
      </c>
      <c r="Z59" s="62">
        <f t="shared" si="1"/>
        <v>80.3</v>
      </c>
      <c r="AA59" s="62">
        <f t="shared" si="1"/>
        <v>81.5</v>
      </c>
      <c r="AB59" s="62">
        <f t="shared" si="1"/>
        <v>81.5</v>
      </c>
      <c r="AC59" s="62">
        <f t="shared" si="1"/>
        <v>81.5</v>
      </c>
      <c r="AD59" s="62">
        <f t="shared" si="1"/>
        <v>81.5</v>
      </c>
      <c r="AE59" s="62">
        <f t="shared" si="1"/>
        <v>81.5</v>
      </c>
      <c r="AF59" s="62" t="str">
        <f t="shared" si="1"/>
        <v/>
      </c>
      <c r="AG59" s="62" t="str">
        <f t="shared" si="1"/>
        <v/>
      </c>
      <c r="AH59" s="62">
        <f t="shared" si="1"/>
        <v>72.4</v>
      </c>
      <c r="AI59" s="62">
        <f t="shared" si="1"/>
        <v>75.2</v>
      </c>
      <c r="AJ59" s="62">
        <f t="shared" si="1"/>
        <v>71.7</v>
      </c>
      <c r="AK59" s="62">
        <f t="shared" si="1"/>
        <v>77.8</v>
      </c>
      <c r="AL59" s="62">
        <f t="shared" si="1"/>
        <v>84.1</v>
      </c>
      <c r="AM59" s="62">
        <f t="shared" si="1"/>
        <v>88.1</v>
      </c>
      <c r="AN59" s="62">
        <f t="shared" si="1"/>
        <v>89.7</v>
      </c>
      <c r="AO59" s="62">
        <f t="shared" si="1"/>
        <v>81.5</v>
      </c>
      <c r="AP59" s="63"/>
      <c r="AQ59" s="63"/>
    </row>
    <row r="60">
      <c r="A60" s="61" t="s">
        <v>55</v>
      </c>
      <c r="B60" s="61"/>
      <c r="C60" s="61">
        <v>4.6</v>
      </c>
      <c r="D60" s="62" t="str">
        <f t="shared" ref="D60:AO60" si="2">IF(D16&gt;0,ROUND(IF(D$16&lt;10,AVERAGE((D$15+$C60)/(1.0278-0.0278*D$16),(D$15+$C60)*D$16^0.1),AVERAGE((D$15+$C60)*(1+0.0333*D$16),(D$15+$C60)*D$16^0.1)),1),"")</f>
        <v/>
      </c>
      <c r="E60" s="62" t="str">
        <f t="shared" si="2"/>
        <v/>
      </c>
      <c r="F60" s="62">
        <f t="shared" si="2"/>
        <v>19.6</v>
      </c>
      <c r="G60" s="62">
        <f t="shared" si="2"/>
        <v>21.2</v>
      </c>
      <c r="H60" s="62">
        <f t="shared" si="2"/>
        <v>21.9</v>
      </c>
      <c r="I60" s="62">
        <f t="shared" si="2"/>
        <v>21.6</v>
      </c>
      <c r="J60" s="62">
        <f t="shared" si="2"/>
        <v>23.3</v>
      </c>
      <c r="K60" s="62">
        <f t="shared" si="2"/>
        <v>24</v>
      </c>
      <c r="L60" s="62">
        <f t="shared" si="2"/>
        <v>24.7</v>
      </c>
      <c r="M60" s="62">
        <f t="shared" si="2"/>
        <v>25.4</v>
      </c>
      <c r="N60" s="62">
        <f t="shared" si="2"/>
        <v>26.1</v>
      </c>
      <c r="O60" s="62">
        <f t="shared" si="2"/>
        <v>26.1</v>
      </c>
      <c r="P60" s="62">
        <f t="shared" si="2"/>
        <v>26.1</v>
      </c>
      <c r="Q60" s="62">
        <f t="shared" si="2"/>
        <v>26.1</v>
      </c>
      <c r="R60" s="62">
        <f t="shared" si="2"/>
        <v>25.6</v>
      </c>
      <c r="S60" s="62">
        <f t="shared" si="2"/>
        <v>26.3</v>
      </c>
      <c r="T60" s="62">
        <f t="shared" si="2"/>
        <v>26.3</v>
      </c>
      <c r="U60" s="62">
        <f t="shared" si="2"/>
        <v>26.3</v>
      </c>
      <c r="V60" s="62">
        <f t="shared" si="2"/>
        <v>26.3</v>
      </c>
      <c r="W60" s="62">
        <f t="shared" si="2"/>
        <v>26.3</v>
      </c>
      <c r="X60" s="62">
        <f t="shared" si="2"/>
        <v>26.3</v>
      </c>
      <c r="Y60" s="62">
        <f t="shared" si="2"/>
        <v>26.3</v>
      </c>
      <c r="Z60" s="62">
        <f t="shared" si="2"/>
        <v>26.3</v>
      </c>
      <c r="AA60" s="62">
        <f t="shared" si="2"/>
        <v>26.7</v>
      </c>
      <c r="AB60" s="62" t="str">
        <f t="shared" si="2"/>
        <v/>
      </c>
      <c r="AC60" s="62">
        <f t="shared" si="2"/>
        <v>26.3</v>
      </c>
      <c r="AD60" s="62">
        <f t="shared" si="2"/>
        <v>26.3</v>
      </c>
      <c r="AE60" s="62" t="str">
        <f t="shared" si="2"/>
        <v/>
      </c>
      <c r="AF60" s="62" t="str">
        <f t="shared" si="2"/>
        <v/>
      </c>
      <c r="AG60" s="62" t="str">
        <f t="shared" si="2"/>
        <v/>
      </c>
      <c r="AH60" s="62" t="str">
        <f t="shared" si="2"/>
        <v/>
      </c>
      <c r="AI60" s="62" t="str">
        <f t="shared" si="2"/>
        <v/>
      </c>
      <c r="AJ60" s="62" t="str">
        <f t="shared" si="2"/>
        <v/>
      </c>
      <c r="AK60" s="62" t="str">
        <f t="shared" si="2"/>
        <v/>
      </c>
      <c r="AL60" s="62" t="str">
        <f t="shared" si="2"/>
        <v/>
      </c>
      <c r="AM60" s="62" t="str">
        <f t="shared" si="2"/>
        <v/>
      </c>
      <c r="AN60" s="62" t="str">
        <f t="shared" si="2"/>
        <v/>
      </c>
      <c r="AO60" s="62">
        <f t="shared" si="2"/>
        <v>18.9</v>
      </c>
      <c r="AP60" s="63"/>
      <c r="AQ60" s="63"/>
    </row>
    <row r="61">
      <c r="A61" s="61" t="s">
        <v>42</v>
      </c>
      <c r="B61" s="61"/>
      <c r="C61" s="61"/>
      <c r="D61" s="62" t="str">
        <f t="shared" ref="D61:AO61" si="3">IF(D26&gt;0,"+","")</f>
        <v/>
      </c>
      <c r="E61" s="62" t="str">
        <f t="shared" si="3"/>
        <v/>
      </c>
      <c r="F61" s="62" t="str">
        <f t="shared" si="3"/>
        <v/>
      </c>
      <c r="G61" s="62" t="str">
        <f t="shared" si="3"/>
        <v/>
      </c>
      <c r="H61" s="62" t="str">
        <f t="shared" si="3"/>
        <v/>
      </c>
      <c r="I61" s="62" t="str">
        <f t="shared" si="3"/>
        <v/>
      </c>
      <c r="J61" s="62" t="str">
        <f t="shared" si="3"/>
        <v/>
      </c>
      <c r="K61" s="62" t="str">
        <f t="shared" si="3"/>
        <v>+</v>
      </c>
      <c r="L61" s="62" t="str">
        <f t="shared" si="3"/>
        <v>+</v>
      </c>
      <c r="M61" s="62" t="str">
        <f t="shared" si="3"/>
        <v>+</v>
      </c>
      <c r="N61" s="62" t="str">
        <f t="shared" si="3"/>
        <v/>
      </c>
      <c r="O61" s="62" t="str">
        <f t="shared" si="3"/>
        <v>+</v>
      </c>
      <c r="P61" s="62" t="str">
        <f t="shared" si="3"/>
        <v>+</v>
      </c>
      <c r="Q61" s="62" t="str">
        <f t="shared" si="3"/>
        <v>+</v>
      </c>
      <c r="R61" s="62" t="str">
        <f t="shared" si="3"/>
        <v>+</v>
      </c>
      <c r="S61" s="62" t="str">
        <f t="shared" si="3"/>
        <v>+</v>
      </c>
      <c r="T61" s="62" t="str">
        <f t="shared" si="3"/>
        <v>+</v>
      </c>
      <c r="U61" s="62" t="str">
        <f t="shared" si="3"/>
        <v>+</v>
      </c>
      <c r="V61" s="62" t="str">
        <f t="shared" si="3"/>
        <v>+</v>
      </c>
      <c r="W61" s="62" t="str">
        <f t="shared" si="3"/>
        <v>+</v>
      </c>
      <c r="X61" s="62" t="str">
        <f t="shared" si="3"/>
        <v>+</v>
      </c>
      <c r="Y61" s="62" t="str">
        <f t="shared" si="3"/>
        <v>+</v>
      </c>
      <c r="Z61" s="62" t="str">
        <f t="shared" si="3"/>
        <v>+</v>
      </c>
      <c r="AA61" s="62" t="str">
        <f t="shared" si="3"/>
        <v>+</v>
      </c>
      <c r="AB61" s="62" t="str">
        <f t="shared" si="3"/>
        <v>+</v>
      </c>
      <c r="AC61" s="62" t="str">
        <f t="shared" si="3"/>
        <v>+</v>
      </c>
      <c r="AD61" s="62" t="str">
        <f t="shared" si="3"/>
        <v>+</v>
      </c>
      <c r="AE61" s="62" t="str">
        <f t="shared" si="3"/>
        <v>+</v>
      </c>
      <c r="AF61" s="62" t="str">
        <f t="shared" si="3"/>
        <v>+</v>
      </c>
      <c r="AG61" s="62" t="str">
        <f t="shared" si="3"/>
        <v/>
      </c>
      <c r="AH61" s="62" t="str">
        <f t="shared" si="3"/>
        <v>+</v>
      </c>
      <c r="AI61" s="62" t="str">
        <f t="shared" si="3"/>
        <v>+</v>
      </c>
      <c r="AJ61" s="62" t="str">
        <f t="shared" si="3"/>
        <v>+</v>
      </c>
      <c r="AK61" s="62" t="str">
        <f t="shared" si="3"/>
        <v>+</v>
      </c>
      <c r="AL61" s="62" t="str">
        <f t="shared" si="3"/>
        <v>+</v>
      </c>
      <c r="AM61" s="62" t="str">
        <f t="shared" si="3"/>
        <v>+</v>
      </c>
      <c r="AN61" s="62" t="str">
        <f t="shared" si="3"/>
        <v>+</v>
      </c>
      <c r="AO61" s="62" t="str">
        <f t="shared" si="3"/>
        <v>+</v>
      </c>
      <c r="AP61" s="63"/>
      <c r="AQ61" s="63"/>
    </row>
    <row r="62">
      <c r="A62" s="61" t="s">
        <v>56</v>
      </c>
      <c r="B62" s="61"/>
      <c r="C62" s="61">
        <v>8.0</v>
      </c>
      <c r="D62" s="64">
        <f t="shared" ref="D62:AO62" si="4">IF(D30&gt;0,ROUND(IF(D$30&lt;10,AVERAGE((D$29+$C62)/(1.0278-0.0278*D$30),(D$29+$C62)*D$30^0.1),AVERAGE((D$29+$C62)*(1+0.0333*D$30),(D$29+$C62)*D$30^0.1)),1),"")</f>
        <v>36.3</v>
      </c>
      <c r="E62" s="64">
        <f t="shared" si="4"/>
        <v>37.6</v>
      </c>
      <c r="F62" s="64">
        <f t="shared" si="4"/>
        <v>38.9</v>
      </c>
      <c r="G62" s="64">
        <f t="shared" si="4"/>
        <v>40.2</v>
      </c>
      <c r="H62" s="64">
        <f t="shared" si="4"/>
        <v>41.5</v>
      </c>
      <c r="I62" s="64">
        <f t="shared" si="4"/>
        <v>42.8</v>
      </c>
      <c r="J62" s="64">
        <f t="shared" si="4"/>
        <v>44.1</v>
      </c>
      <c r="K62" s="64">
        <f t="shared" si="4"/>
        <v>45.4</v>
      </c>
      <c r="L62" s="64">
        <f t="shared" si="4"/>
        <v>46.7</v>
      </c>
      <c r="M62" s="64">
        <f t="shared" si="4"/>
        <v>48</v>
      </c>
      <c r="N62" s="64">
        <f t="shared" si="4"/>
        <v>49.2</v>
      </c>
      <c r="O62" s="64">
        <f t="shared" si="4"/>
        <v>50.1</v>
      </c>
      <c r="P62" s="64">
        <f t="shared" si="4"/>
        <v>51</v>
      </c>
      <c r="Q62" s="64">
        <f t="shared" si="4"/>
        <v>51.8</v>
      </c>
      <c r="R62" s="64">
        <f t="shared" si="4"/>
        <v>52.6</v>
      </c>
      <c r="S62" s="64">
        <f t="shared" si="4"/>
        <v>59</v>
      </c>
      <c r="T62" s="64">
        <f t="shared" si="4"/>
        <v>57.7</v>
      </c>
      <c r="U62" s="65">
        <f t="shared" si="4"/>
        <v>59</v>
      </c>
      <c r="V62" s="64" t="str">
        <f t="shared" si="4"/>
        <v/>
      </c>
      <c r="W62" s="64">
        <f t="shared" si="4"/>
        <v>51</v>
      </c>
      <c r="X62" s="64">
        <f t="shared" si="4"/>
        <v>50.5</v>
      </c>
      <c r="Y62" s="64">
        <f t="shared" si="4"/>
        <v>52.3</v>
      </c>
      <c r="Z62" s="64" t="str">
        <f t="shared" si="4"/>
        <v/>
      </c>
      <c r="AA62" s="64">
        <f t="shared" si="4"/>
        <v>51.9</v>
      </c>
      <c r="AB62" s="64">
        <f t="shared" si="4"/>
        <v>53.2</v>
      </c>
      <c r="AC62" s="64">
        <f t="shared" si="4"/>
        <v>54.4</v>
      </c>
      <c r="AD62" s="64">
        <f t="shared" si="4"/>
        <v>55.6</v>
      </c>
      <c r="AE62" s="64">
        <f t="shared" si="4"/>
        <v>56.9</v>
      </c>
      <c r="AF62" s="64">
        <f t="shared" si="4"/>
        <v>58.1</v>
      </c>
      <c r="AG62" s="64">
        <f t="shared" si="4"/>
        <v>59.3</v>
      </c>
      <c r="AH62" s="64">
        <f t="shared" si="4"/>
        <v>60.6</v>
      </c>
      <c r="AI62" s="64">
        <f t="shared" si="4"/>
        <v>61.8</v>
      </c>
      <c r="AJ62" s="64">
        <f t="shared" si="4"/>
        <v>58.9</v>
      </c>
      <c r="AK62" s="64">
        <f t="shared" si="4"/>
        <v>61.8</v>
      </c>
      <c r="AL62" s="64">
        <f t="shared" si="4"/>
        <v>63.1</v>
      </c>
      <c r="AM62" s="64">
        <f t="shared" si="4"/>
        <v>49.2</v>
      </c>
      <c r="AN62" s="64" t="str">
        <f t="shared" si="4"/>
        <v/>
      </c>
      <c r="AO62" s="64">
        <f t="shared" si="4"/>
        <v>49.2</v>
      </c>
      <c r="AP62" s="63"/>
      <c r="AQ62" s="63"/>
    </row>
    <row r="63">
      <c r="A63" s="61" t="s">
        <v>57</v>
      </c>
      <c r="B63" s="66"/>
      <c r="C63" s="66"/>
      <c r="D63" s="62">
        <f t="shared" ref="D63:AO63" si="5">IF(D42&gt;0,ROUND(IF(D$42&lt;10,AVERAGE(D$41/(1.0278-0.0278*D$42),D$41*D$42^0.1),AVERAGE(D$41*(1+0.0333*D$42),D$41*D$42^0.1)),2),"")</f>
        <v>6.48</v>
      </c>
      <c r="E63" s="62">
        <f t="shared" si="5"/>
        <v>6.59</v>
      </c>
      <c r="F63" s="62">
        <f t="shared" si="5"/>
        <v>6.7</v>
      </c>
      <c r="G63" s="62">
        <f t="shared" si="5"/>
        <v>6.81</v>
      </c>
      <c r="H63" s="62">
        <f t="shared" si="5"/>
        <v>6.92</v>
      </c>
      <c r="I63" s="62">
        <f t="shared" si="5"/>
        <v>7.03</v>
      </c>
      <c r="J63" s="62">
        <f t="shared" si="5"/>
        <v>7.13</v>
      </c>
      <c r="K63" s="62">
        <f t="shared" si="5"/>
        <v>7.23</v>
      </c>
      <c r="L63" s="62">
        <f t="shared" si="5"/>
        <v>7.34</v>
      </c>
      <c r="M63" s="62">
        <f t="shared" si="5"/>
        <v>7.44</v>
      </c>
      <c r="N63" s="62">
        <f t="shared" si="5"/>
        <v>7.54</v>
      </c>
      <c r="O63" s="62">
        <f t="shared" si="5"/>
        <v>7.37</v>
      </c>
      <c r="P63" s="62">
        <f t="shared" si="5"/>
        <v>7.49</v>
      </c>
      <c r="Q63" s="62">
        <f t="shared" si="5"/>
        <v>7.61</v>
      </c>
      <c r="R63" s="62">
        <f t="shared" si="5"/>
        <v>7.73</v>
      </c>
      <c r="S63" s="62">
        <f t="shared" si="5"/>
        <v>7.84</v>
      </c>
      <c r="T63" s="62">
        <f t="shared" si="5"/>
        <v>8.05</v>
      </c>
      <c r="U63" s="62">
        <f t="shared" si="5"/>
        <v>8.18</v>
      </c>
      <c r="V63" s="62">
        <f t="shared" si="5"/>
        <v>8.3</v>
      </c>
      <c r="W63" s="62">
        <f t="shared" si="5"/>
        <v>8.43</v>
      </c>
      <c r="X63" s="62">
        <f t="shared" si="5"/>
        <v>8.68</v>
      </c>
      <c r="Y63" s="62">
        <f t="shared" si="5"/>
        <v>8.72</v>
      </c>
      <c r="Z63" s="62">
        <f t="shared" si="5"/>
        <v>8.86</v>
      </c>
      <c r="AA63" s="62">
        <f t="shared" si="5"/>
        <v>9</v>
      </c>
      <c r="AB63" s="62">
        <f t="shared" si="5"/>
        <v>9.13</v>
      </c>
      <c r="AC63" s="62">
        <f t="shared" si="5"/>
        <v>9.27</v>
      </c>
      <c r="AD63" s="62">
        <f t="shared" si="5"/>
        <v>9.4</v>
      </c>
      <c r="AE63" s="62">
        <f t="shared" si="5"/>
        <v>9.54</v>
      </c>
      <c r="AF63" s="62">
        <f t="shared" si="5"/>
        <v>9.67</v>
      </c>
      <c r="AG63" s="62" t="str">
        <f t="shared" si="5"/>
        <v/>
      </c>
      <c r="AH63" s="62">
        <f t="shared" si="5"/>
        <v>9.8</v>
      </c>
      <c r="AI63" s="62">
        <f t="shared" si="5"/>
        <v>9.07</v>
      </c>
      <c r="AJ63" s="62" t="str">
        <f t="shared" si="5"/>
        <v/>
      </c>
      <c r="AK63" s="62" t="str">
        <f t="shared" si="5"/>
        <v/>
      </c>
      <c r="AL63" s="62">
        <f t="shared" si="5"/>
        <v>9.39</v>
      </c>
      <c r="AM63" s="62">
        <f t="shared" si="5"/>
        <v>7.03</v>
      </c>
      <c r="AN63" s="62">
        <f t="shared" si="5"/>
        <v>7.03</v>
      </c>
      <c r="AO63" s="62">
        <f t="shared" si="5"/>
        <v>10.55</v>
      </c>
      <c r="AP63" s="63"/>
      <c r="AQ63" s="63"/>
    </row>
    <row r="64">
      <c r="A64" s="61" t="s">
        <v>58</v>
      </c>
      <c r="B64" s="66"/>
      <c r="C64" s="66"/>
      <c r="D64" s="62">
        <f t="shared" ref="D64:AO64" si="6">IF(D46&gt;0,ROUND(IF(D$46&lt;10,AVERAGE(D$45/(1.0278-0.0278*D$46),D$45*D$46^0.1),AVERAGE(D$45*(1+0.0333*D$46),D$45*D$46^0.1)),2),"")</f>
        <v>7.03</v>
      </c>
      <c r="E64" s="62">
        <f t="shared" si="6"/>
        <v>7.13</v>
      </c>
      <c r="F64" s="62">
        <f t="shared" si="6"/>
        <v>7.13</v>
      </c>
      <c r="G64" s="62">
        <f t="shared" si="6"/>
        <v>7.13</v>
      </c>
      <c r="H64" s="62">
        <f t="shared" si="6"/>
        <v>7.23</v>
      </c>
      <c r="I64" s="62">
        <f t="shared" si="6"/>
        <v>7.03</v>
      </c>
      <c r="J64" s="62">
        <f t="shared" si="6"/>
        <v>7.23</v>
      </c>
      <c r="K64" s="62">
        <f t="shared" si="6"/>
        <v>7.23</v>
      </c>
      <c r="L64" s="62">
        <f t="shared" si="6"/>
        <v>7.34</v>
      </c>
      <c r="M64" s="62">
        <f t="shared" si="6"/>
        <v>7.34</v>
      </c>
      <c r="N64" s="62">
        <f t="shared" si="6"/>
        <v>7.34</v>
      </c>
      <c r="O64" s="62">
        <f t="shared" si="6"/>
        <v>7.78</v>
      </c>
      <c r="P64" s="62">
        <f t="shared" si="6"/>
        <v>7.91</v>
      </c>
      <c r="Q64" s="62">
        <f t="shared" si="6"/>
        <v>8.05</v>
      </c>
      <c r="R64" s="62">
        <f t="shared" si="6"/>
        <v>8.18</v>
      </c>
      <c r="S64" s="62">
        <f t="shared" si="6"/>
        <v>8.18</v>
      </c>
      <c r="T64" s="62">
        <f t="shared" si="6"/>
        <v>8.3</v>
      </c>
      <c r="U64" s="62">
        <f t="shared" si="6"/>
        <v>8.3</v>
      </c>
      <c r="V64" s="62">
        <f t="shared" si="6"/>
        <v>8.3</v>
      </c>
      <c r="W64" s="62">
        <f t="shared" si="6"/>
        <v>8.43</v>
      </c>
      <c r="X64" s="62">
        <f t="shared" si="6"/>
        <v>8.43</v>
      </c>
      <c r="Y64" s="62">
        <f t="shared" si="6"/>
        <v>8.42</v>
      </c>
      <c r="Z64" s="62">
        <f t="shared" si="6"/>
        <v>8.57</v>
      </c>
      <c r="AA64" s="62">
        <f t="shared" si="6"/>
        <v>8.57</v>
      </c>
      <c r="AB64" s="62">
        <f t="shared" si="6"/>
        <v>8.72</v>
      </c>
      <c r="AC64" s="62">
        <f t="shared" si="6"/>
        <v>8.86</v>
      </c>
      <c r="AD64" s="62">
        <f t="shared" si="6"/>
        <v>8.86</v>
      </c>
      <c r="AE64" s="62">
        <f t="shared" si="6"/>
        <v>9</v>
      </c>
      <c r="AF64" s="62" t="str">
        <f t="shared" si="6"/>
        <v/>
      </c>
      <c r="AG64" s="62" t="str">
        <f t="shared" si="6"/>
        <v/>
      </c>
      <c r="AH64" s="62">
        <f t="shared" si="6"/>
        <v>9.13</v>
      </c>
      <c r="AI64" s="62">
        <f t="shared" si="6"/>
        <v>8.65</v>
      </c>
      <c r="AJ64" s="62" t="str">
        <f t="shared" si="6"/>
        <v/>
      </c>
      <c r="AK64" s="62" t="str">
        <f t="shared" si="6"/>
        <v/>
      </c>
      <c r="AL64" s="62">
        <f t="shared" si="6"/>
        <v>8.65</v>
      </c>
      <c r="AM64" s="62">
        <f t="shared" si="6"/>
        <v>7.03</v>
      </c>
      <c r="AN64" s="62">
        <f t="shared" si="6"/>
        <v>7.03</v>
      </c>
      <c r="AO64" s="62">
        <f t="shared" si="6"/>
        <v>8.51</v>
      </c>
      <c r="AP64" s="63"/>
      <c r="AQ64" s="63"/>
    </row>
    <row r="65">
      <c r="A65" s="61" t="s">
        <v>59</v>
      </c>
      <c r="B65" s="66"/>
      <c r="C65" s="66"/>
      <c r="D65" s="62">
        <f t="shared" ref="D65:AO65" si="7">IF(D50&gt;0,ROUND(IF(D$50&lt;10,AVERAGE(D$49/(1.0278-0.0278*D$50),D$49*D$50^0.1),AVERAGE(D$49*(1+0.0333*D$50),D$49*D$50^0.1)),2),"")</f>
        <v>14.05</v>
      </c>
      <c r="E65" s="62">
        <f t="shared" si="7"/>
        <v>14.26</v>
      </c>
      <c r="F65" s="62">
        <f t="shared" si="7"/>
        <v>14.26</v>
      </c>
      <c r="G65" s="62">
        <f t="shared" si="7"/>
        <v>14.26</v>
      </c>
      <c r="H65" s="62">
        <f t="shared" si="7"/>
        <v>14.26</v>
      </c>
      <c r="I65" s="62">
        <f t="shared" si="7"/>
        <v>14.05</v>
      </c>
      <c r="J65" s="62">
        <f t="shared" si="7"/>
        <v>14.47</v>
      </c>
      <c r="K65" s="62">
        <f t="shared" si="7"/>
        <v>14.67</v>
      </c>
      <c r="L65" s="62">
        <f t="shared" si="7"/>
        <v>15.46</v>
      </c>
      <c r="M65" s="62">
        <f t="shared" si="7"/>
        <v>15.69</v>
      </c>
      <c r="N65" s="62">
        <f t="shared" si="7"/>
        <v>15.91</v>
      </c>
      <c r="O65" s="62">
        <f t="shared" si="7"/>
        <v>16.14</v>
      </c>
      <c r="P65" s="62">
        <f t="shared" si="7"/>
        <v>16.09</v>
      </c>
      <c r="Q65" s="62">
        <f t="shared" si="7"/>
        <v>16.35</v>
      </c>
      <c r="R65" s="62">
        <f t="shared" si="7"/>
        <v>16.61</v>
      </c>
      <c r="S65" s="62">
        <f t="shared" si="7"/>
        <v>16.86</v>
      </c>
      <c r="T65" s="62">
        <f t="shared" si="7"/>
        <v>16.85</v>
      </c>
      <c r="U65" s="62">
        <f t="shared" si="7"/>
        <v>17.14</v>
      </c>
      <c r="V65" s="62">
        <f t="shared" si="7"/>
        <v>17.43</v>
      </c>
      <c r="W65" s="62">
        <f t="shared" si="7"/>
        <v>17.71</v>
      </c>
      <c r="X65" s="62">
        <f t="shared" si="7"/>
        <v>17.99</v>
      </c>
      <c r="Y65" s="62">
        <f t="shared" si="7"/>
        <v>18.27</v>
      </c>
      <c r="Z65" s="62">
        <f t="shared" si="7"/>
        <v>18.27</v>
      </c>
      <c r="AA65" s="62">
        <f t="shared" si="7"/>
        <v>18.27</v>
      </c>
      <c r="AB65" s="62">
        <f t="shared" si="7"/>
        <v>19.44</v>
      </c>
      <c r="AC65" s="62">
        <f t="shared" si="7"/>
        <v>19.78</v>
      </c>
      <c r="AD65" s="62">
        <f t="shared" si="7"/>
        <v>18.14</v>
      </c>
      <c r="AE65" s="62">
        <f t="shared" si="7"/>
        <v>18.14</v>
      </c>
      <c r="AF65" s="62" t="str">
        <f t="shared" si="7"/>
        <v/>
      </c>
      <c r="AG65" s="62" t="str">
        <f t="shared" si="7"/>
        <v/>
      </c>
      <c r="AH65" s="62">
        <f t="shared" si="7"/>
        <v>16.85</v>
      </c>
      <c r="AI65" s="62">
        <f t="shared" si="7"/>
        <v>17.43</v>
      </c>
      <c r="AJ65" s="62" t="str">
        <f t="shared" si="7"/>
        <v/>
      </c>
      <c r="AK65" s="62" t="str">
        <f t="shared" si="7"/>
        <v/>
      </c>
      <c r="AL65" s="62">
        <f t="shared" si="7"/>
        <v>16.85</v>
      </c>
      <c r="AM65" s="62">
        <f t="shared" si="7"/>
        <v>12.96</v>
      </c>
      <c r="AN65" s="62" t="str">
        <f t="shared" si="7"/>
        <v/>
      </c>
      <c r="AO65" s="62">
        <f t="shared" si="7"/>
        <v>18.09</v>
      </c>
      <c r="AP65" s="63"/>
      <c r="AQ65" s="6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3" t="s">
        <v>78</v>
      </c>
      <c r="B1" s="82" t="s">
        <v>79</v>
      </c>
      <c r="C1" s="83" t="s">
        <v>80</v>
      </c>
      <c r="D1" s="84">
        <v>45623.0</v>
      </c>
      <c r="E1" s="84">
        <v>45625.0</v>
      </c>
      <c r="F1" s="84">
        <v>45627.0</v>
      </c>
      <c r="G1" s="84">
        <v>45629.0</v>
      </c>
      <c r="H1" s="84">
        <v>45631.0</v>
      </c>
      <c r="I1" s="84">
        <v>45633.0</v>
      </c>
      <c r="J1" s="84">
        <v>45635.0</v>
      </c>
      <c r="K1" s="84">
        <v>45637.0</v>
      </c>
      <c r="L1" s="84">
        <v>45640.0</v>
      </c>
      <c r="M1" s="75" t="s">
        <v>62</v>
      </c>
      <c r="N1" s="84"/>
      <c r="O1" s="84"/>
      <c r="P1" s="84"/>
      <c r="Q1" s="84"/>
      <c r="R1" s="84"/>
      <c r="S1" s="84"/>
      <c r="T1" s="84"/>
      <c r="U1" s="84"/>
      <c r="V1" s="84"/>
      <c r="W1" s="84"/>
      <c r="Y1" s="53" t="s">
        <v>63</v>
      </c>
      <c r="Z1" s="51"/>
      <c r="AA1" s="51"/>
      <c r="AB1" s="51"/>
    </row>
    <row r="2" ht="12.0" customHeight="1">
      <c r="A2" s="51"/>
      <c r="B2" s="85" t="s">
        <v>81</v>
      </c>
      <c r="C2" s="86" t="s">
        <v>82</v>
      </c>
      <c r="D2" s="76">
        <v>63.9</v>
      </c>
      <c r="E2" s="76">
        <v>63.7</v>
      </c>
      <c r="F2" s="76">
        <v>64.5</v>
      </c>
      <c r="G2" s="76">
        <v>64.9</v>
      </c>
      <c r="H2" s="76">
        <v>64.0</v>
      </c>
      <c r="I2" s="76">
        <v>64.8</v>
      </c>
      <c r="J2" s="76">
        <v>65.2</v>
      </c>
      <c r="K2" s="76">
        <v>64.4</v>
      </c>
      <c r="L2" s="76">
        <v>64.8</v>
      </c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87"/>
      <c r="Y2" s="51"/>
      <c r="Z2" s="51"/>
      <c r="AA2" s="51"/>
      <c r="AB2" s="51"/>
    </row>
    <row r="3" ht="12.0" customHeight="1">
      <c r="A3" s="53"/>
      <c r="B3" s="58" t="s">
        <v>56</v>
      </c>
      <c r="C3" s="88"/>
      <c r="D3" s="89">
        <v>56.5</v>
      </c>
      <c r="E3" s="90">
        <v>56.5</v>
      </c>
      <c r="F3" s="89">
        <v>56.5</v>
      </c>
      <c r="G3" s="91">
        <v>58.0</v>
      </c>
      <c r="H3" s="92">
        <v>58.0</v>
      </c>
      <c r="I3" s="91">
        <v>58.0</v>
      </c>
      <c r="J3" s="90">
        <v>60.0</v>
      </c>
      <c r="K3" s="89">
        <v>58.0</v>
      </c>
      <c r="L3" s="89">
        <v>60.0</v>
      </c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1"/>
      <c r="Z3" s="51"/>
      <c r="AA3" s="51"/>
      <c r="AB3" s="51"/>
    </row>
    <row r="4" ht="12.0" customHeight="1">
      <c r="A4" s="53"/>
      <c r="B4" s="93"/>
      <c r="C4" s="94"/>
      <c r="D4" s="95">
        <v>3.0</v>
      </c>
      <c r="E4" s="96">
        <v>4.0</v>
      </c>
      <c r="F4" s="95">
        <v>3.0</v>
      </c>
      <c r="G4" s="95">
        <v>5.0</v>
      </c>
      <c r="H4" s="96">
        <v>3.0</v>
      </c>
      <c r="I4" s="95">
        <v>6.0</v>
      </c>
      <c r="J4" s="96">
        <v>3.0</v>
      </c>
      <c r="K4" s="95">
        <v>6.0</v>
      </c>
      <c r="L4" s="95">
        <v>3.0</v>
      </c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</row>
    <row r="5" ht="12.0" customHeight="1">
      <c r="A5" s="51"/>
      <c r="B5" s="58" t="s">
        <v>56</v>
      </c>
      <c r="C5" s="94"/>
      <c r="D5" s="89">
        <v>56.5</v>
      </c>
      <c r="E5" s="90">
        <v>56.5</v>
      </c>
      <c r="F5" s="89">
        <v>56.5</v>
      </c>
      <c r="G5" s="95">
        <v>57.5</v>
      </c>
      <c r="H5" s="92">
        <v>58.0</v>
      </c>
      <c r="I5" s="95">
        <v>57.5</v>
      </c>
      <c r="J5" s="96">
        <v>60.0</v>
      </c>
      <c r="K5" s="89">
        <v>58.0</v>
      </c>
      <c r="L5" s="89">
        <v>60.0</v>
      </c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</row>
    <row r="6" ht="12.0" customHeight="1">
      <c r="A6" s="51"/>
      <c r="B6" s="93"/>
      <c r="C6" s="94"/>
      <c r="D6" s="95">
        <v>3.0</v>
      </c>
      <c r="E6" s="96">
        <v>4.0</v>
      </c>
      <c r="F6" s="95">
        <v>3.0</v>
      </c>
      <c r="G6" s="95">
        <v>5.0</v>
      </c>
      <c r="H6" s="96">
        <v>3.0</v>
      </c>
      <c r="I6" s="95">
        <v>6.0</v>
      </c>
      <c r="J6" s="96">
        <v>3.0</v>
      </c>
      <c r="K6" s="95">
        <v>6.0</v>
      </c>
      <c r="L6" s="95">
        <v>3.0</v>
      </c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</row>
    <row r="7" ht="12.0" customHeight="1">
      <c r="A7" s="53"/>
      <c r="B7" s="58" t="s">
        <v>56</v>
      </c>
      <c r="C7" s="94"/>
      <c r="D7" s="89">
        <v>56.5</v>
      </c>
      <c r="E7" s="90">
        <v>56.5</v>
      </c>
      <c r="F7" s="89">
        <v>56.5</v>
      </c>
      <c r="G7" s="95">
        <v>57.0</v>
      </c>
      <c r="H7" s="92">
        <v>58.0</v>
      </c>
      <c r="I7" s="95">
        <v>57.0</v>
      </c>
      <c r="J7" s="96">
        <v>60.0</v>
      </c>
      <c r="K7" s="89">
        <v>58.0</v>
      </c>
      <c r="L7" s="89">
        <v>60.0</v>
      </c>
      <c r="M7" s="53"/>
      <c r="N7" s="53"/>
      <c r="O7" s="53"/>
      <c r="P7" s="53"/>
      <c r="Q7" s="53"/>
      <c r="R7" s="53"/>
      <c r="S7" s="53"/>
      <c r="T7" s="53"/>
      <c r="U7" s="3"/>
      <c r="V7" s="3"/>
      <c r="W7" s="3"/>
      <c r="X7" s="3"/>
      <c r="Y7" s="51"/>
      <c r="Z7" s="51"/>
      <c r="AA7" s="51"/>
      <c r="AB7" s="51"/>
    </row>
    <row r="8" ht="12.0" customHeight="1">
      <c r="A8" s="53"/>
      <c r="B8" s="58"/>
      <c r="C8" s="94"/>
      <c r="D8" s="95">
        <v>3.0</v>
      </c>
      <c r="E8" s="96">
        <v>4.0</v>
      </c>
      <c r="F8" s="95">
        <v>3.0</v>
      </c>
      <c r="G8" s="95">
        <v>5.0</v>
      </c>
      <c r="H8" s="96">
        <v>3.0</v>
      </c>
      <c r="I8" s="95">
        <v>6.0</v>
      </c>
      <c r="J8" s="96">
        <v>3.0</v>
      </c>
      <c r="K8" s="95">
        <v>6.0</v>
      </c>
      <c r="L8" s="95">
        <v>3.0</v>
      </c>
      <c r="M8" s="53"/>
      <c r="N8" s="53"/>
      <c r="O8" s="53"/>
      <c r="P8" s="53"/>
      <c r="Q8" s="53"/>
      <c r="R8" s="53"/>
      <c r="S8" s="53"/>
      <c r="T8" s="53"/>
      <c r="U8" s="3"/>
      <c r="V8" s="3"/>
      <c r="W8" s="3"/>
      <c r="X8" s="3"/>
      <c r="Y8" s="51"/>
      <c r="Z8" s="51"/>
      <c r="AA8" s="51"/>
      <c r="AB8" s="51"/>
    </row>
    <row r="9" ht="12.0" customHeight="1">
      <c r="A9" s="53"/>
      <c r="B9" s="58" t="s">
        <v>56</v>
      </c>
      <c r="C9" s="94"/>
      <c r="D9" s="89">
        <v>56.5</v>
      </c>
      <c r="E9" s="90">
        <v>56.5</v>
      </c>
      <c r="F9" s="89">
        <v>56.5</v>
      </c>
      <c r="G9" s="95">
        <v>56.5</v>
      </c>
      <c r="H9" s="92">
        <v>58.0</v>
      </c>
      <c r="I9" s="95">
        <v>56.5</v>
      </c>
      <c r="J9" s="96">
        <v>60.0</v>
      </c>
      <c r="K9" s="89">
        <v>58.0</v>
      </c>
      <c r="L9" s="89">
        <v>60.0</v>
      </c>
      <c r="M9" s="53"/>
      <c r="N9" s="53"/>
      <c r="O9" s="53"/>
      <c r="P9" s="53"/>
      <c r="Q9" s="53"/>
      <c r="R9" s="53"/>
      <c r="S9" s="53"/>
      <c r="T9" s="53"/>
      <c r="U9" s="3"/>
      <c r="V9" s="3"/>
      <c r="W9" s="3"/>
      <c r="X9" s="3"/>
      <c r="Y9" s="51"/>
      <c r="Z9" s="51"/>
      <c r="AA9" s="51"/>
      <c r="AB9" s="51"/>
    </row>
    <row r="10" ht="12.0" customHeight="1">
      <c r="A10" s="53"/>
      <c r="B10" s="58"/>
      <c r="C10" s="94"/>
      <c r="D10" s="95">
        <v>3.0</v>
      </c>
      <c r="E10" s="96">
        <v>4.0</v>
      </c>
      <c r="F10" s="95">
        <v>3.0</v>
      </c>
      <c r="G10" s="95">
        <v>5.0</v>
      </c>
      <c r="H10" s="96">
        <v>3.0</v>
      </c>
      <c r="I10" s="95">
        <v>6.0</v>
      </c>
      <c r="J10" s="96">
        <v>3.0</v>
      </c>
      <c r="K10" s="95">
        <v>6.0</v>
      </c>
      <c r="L10" s="95">
        <v>3.0</v>
      </c>
      <c r="M10" s="53"/>
      <c r="N10" s="53"/>
      <c r="O10" s="53"/>
      <c r="P10" s="53"/>
      <c r="Q10" s="53"/>
      <c r="R10" s="53"/>
      <c r="S10" s="53"/>
      <c r="T10" s="53"/>
      <c r="U10" s="3"/>
      <c r="V10" s="3"/>
      <c r="W10" s="3"/>
      <c r="X10" s="3"/>
      <c r="Y10" s="51"/>
      <c r="Z10" s="51"/>
      <c r="AA10" s="51"/>
      <c r="AB10" s="51"/>
    </row>
    <row r="11" ht="12.0" customHeight="1">
      <c r="A11" s="53"/>
      <c r="B11" s="58" t="s">
        <v>56</v>
      </c>
      <c r="C11" s="94"/>
      <c r="D11" s="89">
        <v>56.5</v>
      </c>
      <c r="E11" s="90">
        <v>56.5</v>
      </c>
      <c r="F11" s="89">
        <v>56.5</v>
      </c>
      <c r="G11" s="95">
        <v>56.0</v>
      </c>
      <c r="H11" s="92">
        <v>58.0</v>
      </c>
      <c r="I11" s="95">
        <v>56.0</v>
      </c>
      <c r="J11" s="96">
        <v>60.0</v>
      </c>
      <c r="K11" s="89">
        <v>58.0</v>
      </c>
      <c r="L11" s="89">
        <v>60.0</v>
      </c>
      <c r="M11" s="53"/>
      <c r="N11" s="53"/>
      <c r="O11" s="53"/>
      <c r="P11" s="53"/>
      <c r="Q11" s="53"/>
      <c r="R11" s="53"/>
      <c r="S11" s="53"/>
      <c r="T11" s="53"/>
      <c r="U11" s="3"/>
      <c r="V11" s="3"/>
      <c r="W11" s="3"/>
      <c r="X11" s="3"/>
      <c r="Y11" s="51"/>
      <c r="Z11" s="51"/>
      <c r="AA11" s="51"/>
      <c r="AB11" s="51"/>
    </row>
    <row r="12" ht="12.0" customHeight="1">
      <c r="A12" s="53"/>
      <c r="B12" s="58"/>
      <c r="C12" s="94"/>
      <c r="D12" s="95">
        <v>3.0</v>
      </c>
      <c r="E12" s="96">
        <v>4.0</v>
      </c>
      <c r="F12" s="95">
        <v>3.0</v>
      </c>
      <c r="G12" s="95">
        <v>5.0</v>
      </c>
      <c r="H12" s="96">
        <v>3.0</v>
      </c>
      <c r="I12" s="95">
        <v>6.0</v>
      </c>
      <c r="J12" s="96">
        <v>3.0</v>
      </c>
      <c r="K12" s="95">
        <v>6.0</v>
      </c>
      <c r="L12" s="95">
        <v>3.0</v>
      </c>
      <c r="M12" s="53"/>
      <c r="N12" s="53"/>
      <c r="O12" s="53"/>
      <c r="P12" s="53"/>
      <c r="Q12" s="53"/>
      <c r="R12" s="53"/>
      <c r="S12" s="53"/>
      <c r="T12" s="53"/>
      <c r="U12" s="3"/>
      <c r="V12" s="3"/>
      <c r="W12" s="3"/>
      <c r="X12" s="3"/>
      <c r="Y12" s="51"/>
      <c r="Z12" s="51"/>
      <c r="AA12" s="51"/>
      <c r="AB12" s="51"/>
    </row>
    <row r="13" ht="12.0" customHeight="1">
      <c r="A13" s="53"/>
      <c r="B13" s="58" t="s">
        <v>56</v>
      </c>
      <c r="C13" s="94"/>
      <c r="D13" s="89">
        <v>56.5</v>
      </c>
      <c r="E13" s="90">
        <v>56.5</v>
      </c>
      <c r="F13" s="89">
        <v>56.5</v>
      </c>
      <c r="G13" s="95">
        <v>55.5</v>
      </c>
      <c r="H13" s="92">
        <v>58.0</v>
      </c>
      <c r="I13" s="95">
        <v>55.5</v>
      </c>
      <c r="J13" s="96">
        <v>60.0</v>
      </c>
      <c r="K13" s="89">
        <v>58.0</v>
      </c>
      <c r="L13" s="89">
        <v>60.0</v>
      </c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1"/>
      <c r="Z13" s="51"/>
      <c r="AA13" s="51"/>
      <c r="AB13" s="51"/>
    </row>
    <row r="14" ht="12.0" customHeight="1">
      <c r="A14" s="51"/>
      <c r="B14" s="93"/>
      <c r="C14" s="94"/>
      <c r="D14" s="95">
        <v>3.0</v>
      </c>
      <c r="E14" s="96">
        <v>4.0</v>
      </c>
      <c r="F14" s="95">
        <v>3.0</v>
      </c>
      <c r="G14" s="95">
        <v>5.0</v>
      </c>
      <c r="H14" s="96">
        <v>3.0</v>
      </c>
      <c r="I14" s="95">
        <v>6.0</v>
      </c>
      <c r="J14" s="96">
        <v>3.0</v>
      </c>
      <c r="K14" s="95">
        <v>6.0</v>
      </c>
      <c r="L14" s="95">
        <v>3.0</v>
      </c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1"/>
      <c r="Z14" s="51"/>
      <c r="AA14" s="51"/>
      <c r="AB14" s="51"/>
    </row>
    <row r="15" ht="12.0" customHeight="1">
      <c r="A15" s="51"/>
      <c r="B15" s="58" t="s">
        <v>70</v>
      </c>
      <c r="C15" s="95"/>
      <c r="D15" s="95">
        <v>43.0</v>
      </c>
      <c r="E15" s="94"/>
      <c r="F15" s="95">
        <v>43.0</v>
      </c>
      <c r="G15" s="95">
        <v>44.5</v>
      </c>
      <c r="H15" s="94"/>
      <c r="I15" s="96">
        <v>45.0</v>
      </c>
      <c r="J15" s="96">
        <v>47.0</v>
      </c>
      <c r="K15" s="94"/>
      <c r="L15" s="94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1"/>
      <c r="Y15" s="51"/>
      <c r="Z15" s="51"/>
      <c r="AA15" s="51"/>
      <c r="AB15" s="51"/>
    </row>
    <row r="16" ht="12.0" customHeight="1">
      <c r="A16" s="51"/>
      <c r="B16" s="93"/>
      <c r="C16" s="94"/>
      <c r="D16" s="95">
        <v>8.0</v>
      </c>
      <c r="E16" s="94"/>
      <c r="F16" s="95">
        <v>8.0</v>
      </c>
      <c r="G16" s="95">
        <v>8.0</v>
      </c>
      <c r="H16" s="94"/>
      <c r="I16" s="96">
        <v>8.0</v>
      </c>
      <c r="J16" s="96">
        <v>6.0</v>
      </c>
      <c r="K16" s="94"/>
      <c r="L16" s="94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1"/>
      <c r="Y16" s="51"/>
      <c r="Z16" s="51"/>
      <c r="AA16" s="51"/>
      <c r="AB16" s="51"/>
    </row>
    <row r="17" ht="12.0" customHeight="1">
      <c r="A17" s="53"/>
      <c r="B17" s="58" t="s">
        <v>70</v>
      </c>
      <c r="C17" s="94"/>
      <c r="D17" s="95">
        <v>43.0</v>
      </c>
      <c r="E17" s="94"/>
      <c r="F17" s="95">
        <v>43.0</v>
      </c>
      <c r="G17" s="95">
        <v>44.5</v>
      </c>
      <c r="H17" s="94"/>
      <c r="I17" s="96">
        <v>45.0</v>
      </c>
      <c r="J17" s="96">
        <v>47.0</v>
      </c>
      <c r="K17" s="94"/>
      <c r="L17" s="94"/>
      <c r="M17" s="53"/>
      <c r="N17" s="51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1"/>
      <c r="Z17" s="51"/>
      <c r="AA17" s="51"/>
      <c r="AB17" s="51"/>
    </row>
    <row r="18" ht="12.0" customHeight="1">
      <c r="A18" s="53"/>
      <c r="B18" s="58"/>
      <c r="C18" s="94"/>
      <c r="D18" s="95">
        <v>8.0</v>
      </c>
      <c r="E18" s="94"/>
      <c r="F18" s="95">
        <v>8.0</v>
      </c>
      <c r="G18" s="95">
        <v>8.0</v>
      </c>
      <c r="H18" s="94"/>
      <c r="I18" s="96">
        <v>8.0</v>
      </c>
      <c r="J18" s="96">
        <v>6.0</v>
      </c>
      <c r="K18" s="94"/>
      <c r="L18" s="94"/>
      <c r="M18" s="53"/>
      <c r="N18" s="51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1"/>
      <c r="Z18" s="51"/>
      <c r="AA18" s="51"/>
      <c r="AB18" s="51"/>
    </row>
    <row r="19" ht="12.0" customHeight="1">
      <c r="A19" s="53"/>
      <c r="B19" s="58" t="s">
        <v>70</v>
      </c>
      <c r="C19" s="94"/>
      <c r="D19" s="95">
        <v>43.0</v>
      </c>
      <c r="E19" s="94"/>
      <c r="F19" s="95">
        <v>43.0</v>
      </c>
      <c r="G19" s="95">
        <v>44.5</v>
      </c>
      <c r="H19" s="94"/>
      <c r="I19" s="96">
        <v>45.0</v>
      </c>
      <c r="J19" s="96">
        <v>47.0</v>
      </c>
      <c r="K19" s="94"/>
      <c r="L19" s="94"/>
      <c r="M19" s="53"/>
      <c r="N19" s="51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1"/>
      <c r="Z19" s="51"/>
      <c r="AA19" s="51"/>
      <c r="AB19" s="51"/>
    </row>
    <row r="20" ht="12.0" customHeight="1">
      <c r="A20" s="53"/>
      <c r="B20" s="58"/>
      <c r="C20" s="94"/>
      <c r="D20" s="95">
        <v>8.0</v>
      </c>
      <c r="E20" s="94"/>
      <c r="F20" s="95">
        <v>8.0</v>
      </c>
      <c r="G20" s="95">
        <v>8.0</v>
      </c>
      <c r="H20" s="94"/>
      <c r="I20" s="96">
        <v>8.0</v>
      </c>
      <c r="J20" s="96">
        <v>6.0</v>
      </c>
      <c r="K20" s="94"/>
      <c r="L20" s="94"/>
      <c r="M20" s="53"/>
      <c r="N20" s="51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1"/>
      <c r="Z20" s="51"/>
      <c r="AA20" s="51"/>
      <c r="AB20" s="51"/>
    </row>
    <row r="21" ht="12.0" customHeight="1">
      <c r="A21" s="53"/>
      <c r="B21" s="58" t="s">
        <v>70</v>
      </c>
      <c r="C21" s="94"/>
      <c r="D21" s="95">
        <v>43.0</v>
      </c>
      <c r="E21" s="94"/>
      <c r="F21" s="95">
        <v>43.0</v>
      </c>
      <c r="G21" s="95">
        <v>44.5</v>
      </c>
      <c r="H21" s="94"/>
      <c r="I21" s="96">
        <v>45.0</v>
      </c>
      <c r="J21" s="96">
        <v>47.0</v>
      </c>
      <c r="K21" s="94"/>
      <c r="L21" s="94"/>
      <c r="M21" s="53"/>
      <c r="N21" s="51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1"/>
      <c r="Z21" s="51"/>
      <c r="AA21" s="51"/>
      <c r="AB21" s="51"/>
    </row>
    <row r="22" ht="12.0" customHeight="1">
      <c r="A22" s="53"/>
      <c r="B22" s="58"/>
      <c r="C22" s="94"/>
      <c r="D22" s="95">
        <v>8.0</v>
      </c>
      <c r="E22" s="94"/>
      <c r="F22" s="95">
        <v>8.0</v>
      </c>
      <c r="G22" s="95">
        <v>8.0</v>
      </c>
      <c r="H22" s="94"/>
      <c r="I22" s="96">
        <v>8.0</v>
      </c>
      <c r="J22" s="96">
        <v>6.0</v>
      </c>
      <c r="K22" s="94"/>
      <c r="L22" s="94"/>
      <c r="M22" s="53"/>
      <c r="N22" s="51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1"/>
      <c r="Z22" s="51"/>
      <c r="AA22" s="51"/>
      <c r="AB22" s="51"/>
    </row>
    <row r="23" ht="12.0" customHeight="1">
      <c r="A23" s="53"/>
      <c r="B23" s="58" t="s">
        <v>83</v>
      </c>
      <c r="C23" s="95"/>
      <c r="D23" s="94"/>
      <c r="E23" s="95">
        <v>31.0</v>
      </c>
      <c r="F23" s="94"/>
      <c r="G23" s="94"/>
      <c r="H23" s="95">
        <v>33.0</v>
      </c>
      <c r="I23" s="94"/>
      <c r="J23" s="94"/>
      <c r="K23" s="95">
        <v>34.5</v>
      </c>
      <c r="L23" s="94"/>
      <c r="M23" s="53"/>
      <c r="N23" s="51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1"/>
      <c r="Z23" s="51"/>
      <c r="AA23" s="51"/>
      <c r="AB23" s="51"/>
    </row>
    <row r="24" ht="12.0" customHeight="1">
      <c r="A24" s="53"/>
      <c r="B24" s="58"/>
      <c r="C24" s="94"/>
      <c r="D24" s="94"/>
      <c r="E24" s="95">
        <v>8.0</v>
      </c>
      <c r="F24" s="94"/>
      <c r="G24" s="94"/>
      <c r="H24" s="95">
        <v>8.0</v>
      </c>
      <c r="I24" s="94"/>
      <c r="J24" s="94"/>
      <c r="K24" s="95">
        <v>6.0</v>
      </c>
      <c r="L24" s="94"/>
      <c r="M24" s="53"/>
      <c r="N24" s="51"/>
      <c r="O24" s="53"/>
      <c r="P24" s="53"/>
      <c r="Q24" s="53"/>
      <c r="R24" s="53"/>
      <c r="S24" s="53"/>
      <c r="T24" s="53"/>
      <c r="U24" s="53"/>
      <c r="V24" s="53"/>
      <c r="W24" s="53"/>
      <c r="X24" s="51"/>
      <c r="Y24" s="51"/>
      <c r="Z24" s="51"/>
      <c r="AA24" s="51"/>
      <c r="AB24" s="51"/>
    </row>
    <row r="25" ht="12.0" customHeight="1">
      <c r="A25" s="53"/>
      <c r="B25" s="58" t="s">
        <v>83</v>
      </c>
      <c r="C25" s="94"/>
      <c r="D25" s="94"/>
      <c r="E25" s="95">
        <v>31.0</v>
      </c>
      <c r="F25" s="94"/>
      <c r="G25" s="94"/>
      <c r="H25" s="95">
        <v>32.5</v>
      </c>
      <c r="I25" s="94"/>
      <c r="J25" s="94"/>
      <c r="K25" s="95">
        <v>34.5</v>
      </c>
      <c r="L25" s="94"/>
      <c r="M25" s="53"/>
      <c r="N25" s="51"/>
      <c r="O25" s="53"/>
      <c r="P25" s="53"/>
      <c r="Q25" s="53"/>
      <c r="R25" s="53"/>
      <c r="S25" s="53"/>
      <c r="T25" s="53"/>
      <c r="U25" s="53"/>
      <c r="V25" s="53"/>
      <c r="W25" s="53"/>
      <c r="X25" s="51"/>
      <c r="Y25" s="51"/>
      <c r="Z25" s="51"/>
      <c r="AA25" s="51"/>
      <c r="AB25" s="51"/>
    </row>
    <row r="26" ht="12.0" customHeight="1">
      <c r="A26" s="53"/>
      <c r="B26" s="58"/>
      <c r="C26" s="94"/>
      <c r="D26" s="94"/>
      <c r="E26" s="95">
        <v>8.0</v>
      </c>
      <c r="F26" s="94"/>
      <c r="G26" s="94"/>
      <c r="H26" s="95">
        <v>8.0</v>
      </c>
      <c r="I26" s="94"/>
      <c r="J26" s="94"/>
      <c r="K26" s="95">
        <v>6.0</v>
      </c>
      <c r="L26" s="94"/>
      <c r="M26" s="53"/>
      <c r="N26" s="51"/>
      <c r="O26" s="53"/>
      <c r="P26" s="53"/>
      <c r="Q26" s="53"/>
      <c r="R26" s="53"/>
      <c r="S26" s="53"/>
      <c r="T26" s="53"/>
      <c r="U26" s="53"/>
      <c r="V26" s="53"/>
      <c r="W26" s="53"/>
      <c r="X26" s="51"/>
      <c r="Y26" s="51"/>
      <c r="Z26" s="51"/>
      <c r="AA26" s="51"/>
      <c r="AB26" s="51"/>
    </row>
    <row r="27" ht="12.0" customHeight="1">
      <c r="A27" s="53"/>
      <c r="B27" s="58" t="s">
        <v>83</v>
      </c>
      <c r="C27" s="94"/>
      <c r="D27" s="94"/>
      <c r="E27" s="95">
        <v>31.0</v>
      </c>
      <c r="F27" s="94"/>
      <c r="G27" s="94"/>
      <c r="H27" s="95">
        <v>32.0</v>
      </c>
      <c r="I27" s="94"/>
      <c r="J27" s="94"/>
      <c r="K27" s="95">
        <v>34.5</v>
      </c>
      <c r="L27" s="94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>
        <v>31.0</v>
      </c>
      <c r="Z27" s="51"/>
      <c r="AA27" s="51"/>
      <c r="AB27" s="51"/>
    </row>
    <row r="28" ht="12.0" customHeight="1">
      <c r="A28" s="51"/>
      <c r="B28" s="93"/>
      <c r="C28" s="94"/>
      <c r="D28" s="94"/>
      <c r="E28" s="95">
        <v>8.0</v>
      </c>
      <c r="F28" s="94"/>
      <c r="G28" s="94"/>
      <c r="H28" s="95">
        <v>8.0</v>
      </c>
      <c r="I28" s="94"/>
      <c r="J28" s="94"/>
      <c r="K28" s="95">
        <v>6.0</v>
      </c>
      <c r="L28" s="94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>
        <v>12.0</v>
      </c>
      <c r="Z28" s="51"/>
      <c r="AA28" s="51"/>
      <c r="AB28" s="51"/>
    </row>
    <row r="29" ht="12.0" customHeight="1">
      <c r="A29" s="51"/>
      <c r="B29" s="58" t="s">
        <v>83</v>
      </c>
      <c r="C29" s="2"/>
      <c r="D29" s="2"/>
      <c r="E29" s="95">
        <v>31.0</v>
      </c>
      <c r="F29" s="94"/>
      <c r="G29" s="2"/>
      <c r="H29" s="95">
        <v>31.5</v>
      </c>
      <c r="I29" s="2"/>
      <c r="J29" s="2"/>
      <c r="K29" s="95">
        <v>34.5</v>
      </c>
      <c r="L29" s="94"/>
      <c r="M29" s="53"/>
      <c r="N29" s="53"/>
      <c r="O29" s="53"/>
      <c r="P29" s="53"/>
      <c r="Q29" s="53"/>
      <c r="R29" s="53"/>
      <c r="S29" s="53"/>
      <c r="T29" s="53"/>
      <c r="U29" s="53"/>
      <c r="V29" s="51"/>
      <c r="W29" s="53"/>
      <c r="X29" s="51"/>
      <c r="Y29" s="51"/>
      <c r="Z29" s="51"/>
      <c r="AA29" s="51"/>
      <c r="AB29" s="51"/>
    </row>
    <row r="30" ht="12.0" customHeight="1">
      <c r="A30" s="51"/>
      <c r="B30" s="93"/>
      <c r="C30" s="2"/>
      <c r="D30" s="2"/>
      <c r="E30" s="95">
        <v>8.0</v>
      </c>
      <c r="F30" s="2"/>
      <c r="G30" s="2"/>
      <c r="H30" s="95">
        <v>8.0</v>
      </c>
      <c r="I30" s="2"/>
      <c r="J30" s="2"/>
      <c r="K30" s="95">
        <v>6.0</v>
      </c>
      <c r="L30" s="94"/>
      <c r="M30" s="53"/>
      <c r="N30" s="53"/>
      <c r="O30" s="53"/>
      <c r="P30" s="53"/>
      <c r="Q30" s="53"/>
      <c r="R30" s="53"/>
      <c r="S30" s="53"/>
      <c r="T30" s="53"/>
      <c r="U30" s="53"/>
      <c r="V30" s="51"/>
      <c r="W30" s="53"/>
      <c r="X30" s="51"/>
      <c r="Y30" s="51"/>
      <c r="Z30" s="51"/>
      <c r="AA30" s="51"/>
      <c r="AB30" s="51"/>
    </row>
    <row r="31" ht="12.0" customHeight="1">
      <c r="A31" s="53"/>
      <c r="B31" s="58" t="s">
        <v>84</v>
      </c>
      <c r="C31" s="91"/>
      <c r="D31" s="91">
        <v>10.0</v>
      </c>
      <c r="E31" s="2"/>
      <c r="F31" s="91">
        <v>10.0</v>
      </c>
      <c r="G31" s="91">
        <v>10.5</v>
      </c>
      <c r="H31" s="2"/>
      <c r="I31" s="91">
        <v>10.5</v>
      </c>
      <c r="J31" s="91">
        <v>12.0</v>
      </c>
      <c r="K31" s="2"/>
      <c r="L31" s="94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1"/>
      <c r="Z31" s="51"/>
      <c r="AA31" s="51"/>
      <c r="AB31" s="51"/>
    </row>
    <row r="32" ht="12.0" customHeight="1">
      <c r="A32" s="51"/>
      <c r="B32" s="93"/>
      <c r="C32" s="2"/>
      <c r="D32" s="91">
        <v>10.0</v>
      </c>
      <c r="E32" s="2"/>
      <c r="F32" s="91">
        <v>10.0</v>
      </c>
      <c r="G32" s="91">
        <v>10.0</v>
      </c>
      <c r="H32" s="2"/>
      <c r="I32" s="91">
        <v>10.0</v>
      </c>
      <c r="J32" s="91">
        <v>10.0</v>
      </c>
      <c r="K32" s="2"/>
      <c r="L32" s="94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1"/>
      <c r="Z32" s="51"/>
      <c r="AA32" s="51"/>
      <c r="AB32" s="51"/>
    </row>
    <row r="33" ht="12.0" customHeight="1">
      <c r="A33" s="51"/>
      <c r="B33" s="58" t="s">
        <v>84</v>
      </c>
      <c r="C33" s="2"/>
      <c r="D33" s="91">
        <v>10.0</v>
      </c>
      <c r="E33" s="2"/>
      <c r="F33" s="91">
        <v>10.0</v>
      </c>
      <c r="G33" s="91">
        <v>10.5</v>
      </c>
      <c r="H33" s="2"/>
      <c r="I33" s="91">
        <v>10.5</v>
      </c>
      <c r="J33" s="91">
        <v>12.0</v>
      </c>
      <c r="K33" s="2"/>
      <c r="L33" s="94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1"/>
      <c r="Y33" s="51"/>
      <c r="Z33" s="51"/>
      <c r="AA33" s="51"/>
      <c r="AB33" s="51"/>
    </row>
    <row r="34" ht="12.0" customHeight="1">
      <c r="A34" s="51"/>
      <c r="B34" s="93"/>
      <c r="C34" s="2"/>
      <c r="D34" s="91">
        <v>10.0</v>
      </c>
      <c r="E34" s="2"/>
      <c r="F34" s="91">
        <v>10.0</v>
      </c>
      <c r="G34" s="91">
        <v>10.0</v>
      </c>
      <c r="H34" s="2"/>
      <c r="I34" s="91">
        <v>10.0</v>
      </c>
      <c r="J34" s="91">
        <v>10.0</v>
      </c>
      <c r="K34" s="2"/>
      <c r="L34" s="94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1"/>
      <c r="Y34" s="51"/>
      <c r="Z34" s="51"/>
      <c r="AA34" s="51"/>
      <c r="AB34" s="51"/>
    </row>
    <row r="35" ht="12.0" customHeight="1">
      <c r="A35" s="53"/>
      <c r="B35" s="58" t="s">
        <v>84</v>
      </c>
      <c r="C35" s="94"/>
      <c r="D35" s="91">
        <v>10.0</v>
      </c>
      <c r="E35" s="94"/>
      <c r="F35" s="91">
        <v>10.0</v>
      </c>
      <c r="G35" s="91">
        <v>10.5</v>
      </c>
      <c r="H35" s="94"/>
      <c r="I35" s="91">
        <v>10.5</v>
      </c>
      <c r="J35" s="91">
        <v>12.0</v>
      </c>
      <c r="K35" s="94"/>
      <c r="L35" s="94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1"/>
      <c r="Z35" s="51"/>
      <c r="AA35" s="51"/>
      <c r="AB35" s="51"/>
    </row>
    <row r="36" ht="12.0" customHeight="1">
      <c r="A36" s="51"/>
      <c r="B36" s="93"/>
      <c r="C36" s="94"/>
      <c r="D36" s="91">
        <v>10.0</v>
      </c>
      <c r="E36" s="94"/>
      <c r="F36" s="91">
        <v>10.0</v>
      </c>
      <c r="G36" s="91">
        <v>10.0</v>
      </c>
      <c r="H36" s="94"/>
      <c r="I36" s="91">
        <v>10.0</v>
      </c>
      <c r="J36" s="91">
        <v>10.0</v>
      </c>
      <c r="K36" s="94"/>
      <c r="L36" s="94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1"/>
      <c r="Z36" s="51"/>
      <c r="AA36" s="51"/>
      <c r="AB36" s="51"/>
    </row>
    <row r="37" ht="12.0" customHeight="1">
      <c r="A37" s="51"/>
      <c r="B37" s="58" t="s">
        <v>66</v>
      </c>
      <c r="C37" s="95"/>
      <c r="D37" s="95">
        <v>22.6</v>
      </c>
      <c r="E37" s="94"/>
      <c r="F37" s="95">
        <v>22.6</v>
      </c>
      <c r="G37" s="94"/>
      <c r="H37" s="95"/>
      <c r="I37" s="94"/>
      <c r="J37" s="94"/>
      <c r="K37" s="94"/>
      <c r="L37" s="94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1"/>
      <c r="Y37" s="51"/>
      <c r="Z37" s="51"/>
      <c r="AA37" s="51"/>
      <c r="AB37" s="51"/>
    </row>
    <row r="38" ht="12.0" customHeight="1">
      <c r="A38" s="51"/>
      <c r="B38" s="93"/>
      <c r="C38" s="94"/>
      <c r="D38" s="95">
        <v>15.0</v>
      </c>
      <c r="E38" s="94"/>
      <c r="F38" s="95">
        <v>15.0</v>
      </c>
      <c r="G38" s="94"/>
      <c r="H38" s="95"/>
      <c r="I38" s="94"/>
      <c r="J38" s="94"/>
      <c r="K38" s="94"/>
      <c r="L38" s="94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1"/>
      <c r="Y38" s="51"/>
      <c r="Z38" s="51"/>
      <c r="AA38" s="51"/>
      <c r="AB38" s="51"/>
    </row>
    <row r="39" ht="12.0" customHeight="1">
      <c r="A39" s="53"/>
      <c r="B39" s="58" t="s">
        <v>66</v>
      </c>
      <c r="C39" s="94"/>
      <c r="D39" s="95">
        <v>22.6</v>
      </c>
      <c r="E39" s="94"/>
      <c r="F39" s="95">
        <v>22.6</v>
      </c>
      <c r="G39" s="94"/>
      <c r="H39" s="95"/>
      <c r="I39" s="94"/>
      <c r="J39" s="94"/>
      <c r="K39" s="94"/>
      <c r="L39" s="94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1"/>
      <c r="Z39" s="51"/>
      <c r="AA39" s="51"/>
      <c r="AB39" s="51"/>
    </row>
    <row r="40" ht="12.0" customHeight="1">
      <c r="A40" s="51"/>
      <c r="B40" s="93"/>
      <c r="C40" s="94"/>
      <c r="D40" s="95">
        <v>15.0</v>
      </c>
      <c r="E40" s="94"/>
      <c r="F40" s="95">
        <v>15.0</v>
      </c>
      <c r="G40" s="94"/>
      <c r="H40" s="95"/>
      <c r="I40" s="94"/>
      <c r="J40" s="94"/>
      <c r="K40" s="94"/>
      <c r="L40" s="94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1"/>
      <c r="Z40" s="51"/>
      <c r="AA40" s="51"/>
      <c r="AB40" s="51"/>
    </row>
    <row r="41" ht="12.0" customHeight="1">
      <c r="A41" s="51"/>
      <c r="B41" s="58" t="s">
        <v>66</v>
      </c>
      <c r="C41" s="94"/>
      <c r="D41" s="95">
        <v>22.6</v>
      </c>
      <c r="E41" s="94"/>
      <c r="F41" s="95">
        <v>22.6</v>
      </c>
      <c r="G41" s="94"/>
      <c r="H41" s="95"/>
      <c r="I41" s="94"/>
      <c r="J41" s="94"/>
      <c r="K41" s="94"/>
      <c r="L41" s="94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1"/>
      <c r="Y41" s="51"/>
      <c r="Z41" s="51"/>
      <c r="AA41" s="51"/>
      <c r="AB41" s="51"/>
    </row>
    <row r="42" ht="12.0" customHeight="1">
      <c r="A42" s="51"/>
      <c r="B42" s="93"/>
      <c r="C42" s="94"/>
      <c r="D42" s="95">
        <v>15.0</v>
      </c>
      <c r="E42" s="94"/>
      <c r="F42" s="95">
        <v>15.0</v>
      </c>
      <c r="G42" s="94"/>
      <c r="H42" s="95"/>
      <c r="I42" s="94"/>
      <c r="J42" s="94"/>
      <c r="K42" s="94"/>
      <c r="L42" s="94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1"/>
      <c r="Y42" s="51"/>
      <c r="Z42" s="51"/>
      <c r="AA42" s="51"/>
      <c r="AB42" s="51"/>
    </row>
    <row r="43" ht="12.0" customHeight="1">
      <c r="A43" s="51"/>
      <c r="B43" s="58" t="s">
        <v>73</v>
      </c>
      <c r="C43" s="95"/>
      <c r="D43" s="95">
        <v>2.5</v>
      </c>
      <c r="E43" s="94"/>
      <c r="F43" s="95">
        <v>3.0</v>
      </c>
      <c r="G43" s="95">
        <v>3.5</v>
      </c>
      <c r="H43" s="94"/>
      <c r="I43" s="96">
        <v>3.5</v>
      </c>
      <c r="J43" s="96">
        <v>3.5</v>
      </c>
      <c r="K43" s="94"/>
      <c r="L43" s="94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1"/>
      <c r="Y43" s="51"/>
      <c r="Z43" s="51"/>
      <c r="AA43" s="51"/>
      <c r="AB43" s="51"/>
    </row>
    <row r="44">
      <c r="B44" s="97"/>
      <c r="C44" s="94"/>
      <c r="D44" s="95">
        <v>15.0</v>
      </c>
      <c r="E44" s="94"/>
      <c r="F44" s="95">
        <v>15.0</v>
      </c>
      <c r="G44" s="95">
        <v>15.0</v>
      </c>
      <c r="H44" s="94"/>
      <c r="I44" s="96">
        <v>15.0</v>
      </c>
      <c r="J44" s="96">
        <v>15.0</v>
      </c>
      <c r="K44" s="94"/>
      <c r="L44" s="94"/>
      <c r="U44" s="3"/>
    </row>
    <row r="45">
      <c r="B45" s="58" t="s">
        <v>73</v>
      </c>
      <c r="C45" s="94"/>
      <c r="D45" s="95">
        <v>2.5</v>
      </c>
      <c r="E45" s="94"/>
      <c r="F45" s="95">
        <v>3.0</v>
      </c>
      <c r="G45" s="95">
        <v>3.5</v>
      </c>
      <c r="H45" s="94"/>
      <c r="I45" s="96">
        <v>3.5</v>
      </c>
      <c r="J45" s="96">
        <v>3.5</v>
      </c>
      <c r="K45" s="94"/>
      <c r="L45" s="94"/>
    </row>
    <row r="46">
      <c r="B46" s="98"/>
      <c r="C46" s="94"/>
      <c r="D46" s="95">
        <v>15.0</v>
      </c>
      <c r="E46" s="94"/>
      <c r="F46" s="95">
        <v>15.0</v>
      </c>
      <c r="G46" s="95">
        <v>15.0</v>
      </c>
      <c r="H46" s="94"/>
      <c r="I46" s="96">
        <v>15.0</v>
      </c>
      <c r="J46" s="96">
        <v>15.0</v>
      </c>
      <c r="K46" s="94"/>
      <c r="L46" s="94"/>
    </row>
    <row r="47">
      <c r="B47" s="58" t="s">
        <v>73</v>
      </c>
      <c r="C47" s="94"/>
      <c r="D47" s="95">
        <v>2.5</v>
      </c>
      <c r="E47" s="94"/>
      <c r="F47" s="95">
        <v>3.0</v>
      </c>
      <c r="G47" s="95">
        <v>3.5</v>
      </c>
      <c r="H47" s="94"/>
      <c r="I47" s="96">
        <v>3.5</v>
      </c>
      <c r="J47" s="96">
        <v>3.5</v>
      </c>
      <c r="K47" s="94"/>
      <c r="L47" s="94"/>
    </row>
    <row r="48">
      <c r="B48" s="97"/>
      <c r="C48" s="94"/>
      <c r="D48" s="95">
        <v>15.0</v>
      </c>
      <c r="E48" s="94"/>
      <c r="F48" s="95">
        <v>15.0</v>
      </c>
      <c r="G48" s="95">
        <v>15.0</v>
      </c>
      <c r="H48" s="94"/>
      <c r="I48" s="96">
        <v>15.0</v>
      </c>
      <c r="J48" s="96">
        <v>15.0</v>
      </c>
      <c r="K48" s="94"/>
      <c r="L48" s="94"/>
    </row>
    <row r="49">
      <c r="A49" s="99"/>
      <c r="B49" s="100" t="s">
        <v>85</v>
      </c>
      <c r="C49" s="95"/>
      <c r="D49" s="94"/>
      <c r="E49" s="95">
        <v>52.0</v>
      </c>
      <c r="F49" s="94"/>
      <c r="H49" s="95">
        <v>53.0</v>
      </c>
      <c r="I49" s="94"/>
      <c r="J49" s="94"/>
      <c r="K49" s="94"/>
      <c r="L49" s="94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63"/>
      <c r="AB49" s="63"/>
    </row>
    <row r="50">
      <c r="A50" s="99"/>
      <c r="B50" s="100"/>
      <c r="C50" s="94"/>
      <c r="D50" s="94"/>
      <c r="E50" s="95">
        <v>5.0</v>
      </c>
      <c r="F50" s="94"/>
      <c r="H50" s="95">
        <v>5.0</v>
      </c>
      <c r="I50" s="94"/>
      <c r="J50" s="94"/>
      <c r="K50" s="94"/>
      <c r="L50" s="94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63"/>
      <c r="AB50" s="63"/>
    </row>
    <row r="51">
      <c r="A51" s="99"/>
      <c r="B51" s="100" t="s">
        <v>85</v>
      </c>
      <c r="C51" s="94"/>
      <c r="D51" s="94"/>
      <c r="E51" s="95">
        <v>52.0</v>
      </c>
      <c r="F51" s="94"/>
      <c r="H51" s="95">
        <v>53.0</v>
      </c>
      <c r="I51" s="94"/>
      <c r="J51" s="94"/>
      <c r="K51" s="94"/>
      <c r="L51" s="94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63"/>
      <c r="AB51" s="63"/>
    </row>
    <row r="52">
      <c r="A52" s="99"/>
      <c r="B52" s="100"/>
      <c r="C52" s="94"/>
      <c r="D52" s="94"/>
      <c r="E52" s="95">
        <v>5.0</v>
      </c>
      <c r="F52" s="94"/>
      <c r="H52" s="95">
        <v>5.0</v>
      </c>
      <c r="I52" s="94"/>
      <c r="J52" s="94"/>
      <c r="K52" s="94"/>
      <c r="L52" s="94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63"/>
      <c r="AB52" s="63"/>
    </row>
    <row r="53">
      <c r="A53" s="99"/>
      <c r="B53" s="100" t="s">
        <v>85</v>
      </c>
      <c r="C53" s="94"/>
      <c r="D53" s="94"/>
      <c r="E53" s="95">
        <v>52.0</v>
      </c>
      <c r="F53" s="94"/>
      <c r="H53" s="95">
        <v>53.0</v>
      </c>
      <c r="I53" s="94"/>
      <c r="J53" s="94"/>
      <c r="K53" s="94"/>
      <c r="L53" s="94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63"/>
      <c r="AB53" s="63"/>
    </row>
    <row r="54">
      <c r="A54" s="99"/>
      <c r="B54" s="103"/>
      <c r="C54" s="2"/>
      <c r="D54" s="2"/>
      <c r="E54" s="91">
        <v>5.0</v>
      </c>
      <c r="F54" s="2"/>
      <c r="H54" s="91">
        <v>5.0</v>
      </c>
      <c r="I54" s="2"/>
      <c r="J54" s="2"/>
      <c r="K54" s="2"/>
      <c r="L54" s="2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63"/>
      <c r="AB54" s="63"/>
    </row>
    <row r="55">
      <c r="A55" s="99"/>
      <c r="B55" s="100" t="s">
        <v>86</v>
      </c>
      <c r="C55" s="91"/>
      <c r="D55" s="2"/>
      <c r="E55" s="91">
        <v>12.0</v>
      </c>
      <c r="F55" s="2"/>
      <c r="G55" s="2"/>
      <c r="H55" s="91">
        <v>13.0</v>
      </c>
      <c r="I55" s="2"/>
      <c r="J55" s="2"/>
      <c r="K55" s="2"/>
      <c r="L55" s="2"/>
      <c r="M55" s="101"/>
      <c r="N55" s="101"/>
      <c r="O55" s="101"/>
      <c r="P55" s="101"/>
      <c r="Q55" s="101"/>
      <c r="R55" s="101"/>
      <c r="S55" s="101"/>
      <c r="T55" s="101"/>
      <c r="U55" s="101"/>
      <c r="V55" s="101"/>
      <c r="W55" s="101"/>
      <c r="X55" s="101"/>
      <c r="Y55" s="101"/>
      <c r="Z55" s="101"/>
      <c r="AA55" s="63"/>
      <c r="AB55" s="63"/>
    </row>
    <row r="56">
      <c r="B56" s="97"/>
      <c r="C56" s="2"/>
      <c r="D56" s="2"/>
      <c r="E56" s="91">
        <v>10.0</v>
      </c>
      <c r="F56" s="2"/>
      <c r="G56" s="2"/>
      <c r="H56" s="91">
        <v>10.0</v>
      </c>
      <c r="I56" s="2"/>
      <c r="J56" s="2"/>
      <c r="K56" s="2"/>
      <c r="L56" s="2"/>
    </row>
    <row r="57">
      <c r="B57" s="100" t="s">
        <v>86</v>
      </c>
      <c r="C57" s="2"/>
      <c r="D57" s="2"/>
      <c r="E57" s="91">
        <v>12.0</v>
      </c>
      <c r="F57" s="2"/>
      <c r="G57" s="2"/>
      <c r="H57" s="91">
        <v>13.0</v>
      </c>
      <c r="I57" s="2"/>
      <c r="J57" s="2"/>
      <c r="K57" s="2"/>
      <c r="L57" s="2"/>
    </row>
    <row r="58">
      <c r="B58" s="97"/>
      <c r="C58" s="2"/>
      <c r="D58" s="2"/>
      <c r="E58" s="91">
        <v>10.0</v>
      </c>
      <c r="F58" s="2"/>
      <c r="G58" s="2"/>
      <c r="H58" s="91">
        <v>10.0</v>
      </c>
      <c r="I58" s="2"/>
      <c r="J58" s="2"/>
      <c r="K58" s="2"/>
      <c r="L58" s="2"/>
    </row>
    <row r="59">
      <c r="B59" s="100" t="s">
        <v>86</v>
      </c>
      <c r="C59" s="2"/>
      <c r="D59" s="2"/>
      <c r="E59" s="91">
        <v>12.0</v>
      </c>
      <c r="F59" s="2"/>
      <c r="G59" s="2"/>
      <c r="H59" s="91">
        <v>13.0</v>
      </c>
      <c r="I59" s="2"/>
      <c r="J59" s="2"/>
      <c r="K59" s="2"/>
      <c r="L59" s="2"/>
    </row>
    <row r="60">
      <c r="B60" s="97"/>
      <c r="C60" s="2"/>
      <c r="D60" s="2"/>
      <c r="E60" s="91">
        <v>10.0</v>
      </c>
      <c r="F60" s="2"/>
      <c r="G60" s="2"/>
      <c r="H60" s="91">
        <v>10.0</v>
      </c>
      <c r="I60" s="2"/>
      <c r="J60" s="2"/>
      <c r="K60" s="2"/>
      <c r="L60" s="2"/>
    </row>
    <row r="61">
      <c r="A61" s="3" t="s">
        <v>74</v>
      </c>
      <c r="B61" s="104" t="s">
        <v>62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105" t="s">
        <v>78</v>
      </c>
      <c r="B1" s="82" t="s">
        <v>87</v>
      </c>
      <c r="C1" s="83" t="s">
        <v>80</v>
      </c>
      <c r="D1" s="84">
        <v>45772.0</v>
      </c>
      <c r="E1" s="84">
        <v>45805.0</v>
      </c>
      <c r="F1" s="84">
        <v>45812.0</v>
      </c>
      <c r="G1" s="84">
        <v>45833.0</v>
      </c>
      <c r="H1" s="84">
        <v>45840.0</v>
      </c>
      <c r="I1" s="84">
        <v>45847.0</v>
      </c>
      <c r="J1" s="106">
        <v>45863.0</v>
      </c>
      <c r="K1" s="75" t="s">
        <v>62</v>
      </c>
      <c r="L1" s="84"/>
      <c r="M1" s="84"/>
      <c r="N1" s="75"/>
      <c r="O1" s="84"/>
      <c r="P1" s="84"/>
      <c r="Q1" s="84"/>
      <c r="R1" s="84"/>
      <c r="S1" s="84"/>
      <c r="T1" s="84"/>
      <c r="U1" s="84"/>
      <c r="V1" s="84"/>
      <c r="W1" s="84"/>
      <c r="X1" s="84"/>
      <c r="Y1" s="51"/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>
        <v>65.9</v>
      </c>
      <c r="E2" s="76">
        <v>67.0</v>
      </c>
      <c r="F2" s="76">
        <v>66.5</v>
      </c>
      <c r="G2" s="76">
        <v>66.6</v>
      </c>
      <c r="H2" s="76">
        <v>66.4</v>
      </c>
      <c r="I2" s="76">
        <v>65.6</v>
      </c>
      <c r="J2" s="76">
        <v>66.9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6.0" customHeight="1">
      <c r="A3" s="53" t="s">
        <v>41</v>
      </c>
      <c r="B3" s="58" t="s">
        <v>65</v>
      </c>
      <c r="C3" s="107">
        <v>8.0</v>
      </c>
      <c r="D3" s="108"/>
      <c r="E3" s="107">
        <v>50.0</v>
      </c>
      <c r="F3" s="108">
        <v>55.0</v>
      </c>
      <c r="G3" s="109">
        <v>60.0</v>
      </c>
      <c r="H3" s="109"/>
      <c r="I3" s="109"/>
      <c r="J3" s="109"/>
      <c r="K3" s="108"/>
      <c r="L3" s="108"/>
      <c r="M3" s="108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1"/>
      <c r="AA3" s="51"/>
      <c r="AB3" s="51"/>
      <c r="AC3" s="51"/>
    </row>
    <row r="4" ht="6.0" customHeight="1">
      <c r="A4" s="51"/>
      <c r="B4" s="58"/>
      <c r="C4" s="110"/>
      <c r="D4" s="111"/>
      <c r="E4" s="112">
        <v>3.0</v>
      </c>
      <c r="F4" s="111">
        <v>3.0</v>
      </c>
      <c r="G4" s="111">
        <v>3.0</v>
      </c>
      <c r="H4" s="111"/>
      <c r="I4" s="111"/>
      <c r="J4" s="111"/>
      <c r="K4" s="111"/>
      <c r="L4" s="111"/>
      <c r="M4" s="111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  <c r="Z4" s="51"/>
      <c r="AA4" s="51"/>
      <c r="AB4" s="51"/>
      <c r="AC4" s="51"/>
    </row>
    <row r="5" ht="6.0" customHeight="1">
      <c r="A5" s="51"/>
      <c r="B5" s="58" t="s">
        <v>65</v>
      </c>
      <c r="C5" s="112">
        <v>8.0</v>
      </c>
      <c r="D5" s="108"/>
      <c r="E5" s="107">
        <v>60.0</v>
      </c>
      <c r="F5" s="108">
        <v>65.0</v>
      </c>
      <c r="G5" s="111">
        <v>70.0</v>
      </c>
      <c r="H5" s="111"/>
      <c r="I5" s="109"/>
      <c r="J5" s="111"/>
      <c r="K5" s="111"/>
      <c r="L5" s="108"/>
      <c r="M5" s="108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  <c r="Z5" s="51"/>
      <c r="AA5" s="51"/>
      <c r="AB5" s="51"/>
      <c r="AC5" s="51"/>
    </row>
    <row r="6" ht="6.0" customHeight="1">
      <c r="A6" s="51"/>
      <c r="B6" s="58"/>
      <c r="C6" s="110"/>
      <c r="D6" s="111"/>
      <c r="E6" s="112">
        <v>2.0</v>
      </c>
      <c r="F6" s="111">
        <v>2.0</v>
      </c>
      <c r="G6" s="111">
        <v>2.0</v>
      </c>
      <c r="H6" s="111"/>
      <c r="I6" s="111"/>
      <c r="J6" s="111"/>
      <c r="K6" s="111"/>
      <c r="L6" s="111"/>
      <c r="M6" s="111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  <c r="Z6" s="51"/>
      <c r="AA6" s="51"/>
      <c r="AB6" s="51"/>
      <c r="AC6" s="51"/>
    </row>
    <row r="7" ht="6.0" customHeight="1">
      <c r="A7" s="51"/>
      <c r="B7" s="58" t="s">
        <v>65</v>
      </c>
      <c r="C7" s="112">
        <v>8.0</v>
      </c>
      <c r="D7" s="108"/>
      <c r="E7" s="107"/>
      <c r="F7" s="108"/>
      <c r="G7" s="111">
        <v>80.0</v>
      </c>
      <c r="H7" s="111"/>
      <c r="I7" s="109"/>
      <c r="J7" s="111"/>
      <c r="K7" s="111"/>
      <c r="L7" s="108"/>
      <c r="M7" s="108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  <c r="Z7" s="51"/>
      <c r="AA7" s="51"/>
      <c r="AB7" s="51"/>
      <c r="AC7" s="51"/>
    </row>
    <row r="8" ht="6.0" customHeight="1">
      <c r="A8" s="51"/>
      <c r="B8" s="58"/>
      <c r="C8" s="112"/>
      <c r="D8" s="108"/>
      <c r="E8" s="107"/>
      <c r="F8" s="108"/>
      <c r="G8" s="111">
        <v>1.0</v>
      </c>
      <c r="H8" s="111"/>
      <c r="I8" s="109"/>
      <c r="J8" s="111"/>
      <c r="K8" s="111"/>
      <c r="L8" s="108"/>
      <c r="M8" s="108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1"/>
      <c r="AA8" s="51"/>
      <c r="AB8" s="51"/>
      <c r="AC8" s="51"/>
    </row>
    <row r="9" ht="6.0" customHeight="1">
      <c r="A9" s="51"/>
      <c r="B9" s="58" t="s">
        <v>65</v>
      </c>
      <c r="C9" s="112">
        <v>8.0</v>
      </c>
      <c r="D9" s="108"/>
      <c r="E9" s="107">
        <v>70.0</v>
      </c>
      <c r="F9" s="108">
        <v>75.0</v>
      </c>
      <c r="G9" s="111">
        <v>88.0</v>
      </c>
      <c r="H9" s="111"/>
      <c r="I9" s="109"/>
      <c r="J9" s="111"/>
      <c r="K9" s="111"/>
      <c r="L9" s="108"/>
      <c r="M9" s="108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  <c r="Z9" s="51"/>
      <c r="AA9" s="51"/>
      <c r="AB9" s="51"/>
      <c r="AC9" s="51"/>
    </row>
    <row r="10" ht="6.0" customHeight="1">
      <c r="A10" s="51"/>
      <c r="B10" s="58"/>
      <c r="C10" s="110"/>
      <c r="D10" s="111"/>
      <c r="E10" s="112">
        <v>1.0</v>
      </c>
      <c r="F10" s="111">
        <v>1.0</v>
      </c>
      <c r="G10" s="111">
        <v>1.0</v>
      </c>
      <c r="H10" s="111"/>
      <c r="I10" s="111"/>
      <c r="J10" s="111"/>
      <c r="K10" s="111"/>
      <c r="L10" s="111"/>
      <c r="M10" s="111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53"/>
      <c r="Y10" s="53"/>
      <c r="Z10" s="51"/>
      <c r="AA10" s="51"/>
      <c r="AB10" s="51"/>
      <c r="AC10" s="51"/>
    </row>
    <row r="11" ht="6.0" customHeight="1">
      <c r="A11" s="53"/>
      <c r="B11" s="58" t="s">
        <v>65</v>
      </c>
      <c r="C11" s="112">
        <v>8.0</v>
      </c>
      <c r="D11" s="108"/>
      <c r="E11" s="107"/>
      <c r="F11" s="108"/>
      <c r="G11" s="111">
        <v>90.0</v>
      </c>
      <c r="H11" s="111"/>
      <c r="I11" s="109"/>
      <c r="J11" s="111"/>
      <c r="K11" s="111"/>
      <c r="L11" s="108"/>
      <c r="M11" s="108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53"/>
      <c r="Y11" s="53"/>
      <c r="Z11" s="51"/>
      <c r="AA11" s="51"/>
      <c r="AB11" s="51"/>
      <c r="AC11" s="51"/>
    </row>
    <row r="12" ht="6.0" customHeight="1">
      <c r="A12" s="53"/>
      <c r="B12" s="58"/>
      <c r="C12" s="112"/>
      <c r="D12" s="108"/>
      <c r="E12" s="107"/>
      <c r="F12" s="108"/>
      <c r="G12" s="111">
        <v>1.0</v>
      </c>
      <c r="H12" s="111"/>
      <c r="I12" s="109"/>
      <c r="J12" s="111"/>
      <c r="K12" s="111"/>
      <c r="L12" s="108"/>
      <c r="M12" s="108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88</v>
      </c>
      <c r="B13" s="58" t="s">
        <v>89</v>
      </c>
      <c r="C13" s="112">
        <v>8.0</v>
      </c>
      <c r="D13" s="108"/>
      <c r="E13" s="107"/>
      <c r="F13" s="108"/>
      <c r="G13" s="113"/>
      <c r="H13" s="111">
        <v>20.0</v>
      </c>
      <c r="I13" s="109">
        <v>22.0</v>
      </c>
      <c r="J13" s="111"/>
      <c r="K13" s="111"/>
      <c r="L13" s="108"/>
      <c r="M13" s="108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1"/>
      <c r="AA13" s="51"/>
      <c r="AB13" s="51"/>
      <c r="AC13" s="51"/>
    </row>
    <row r="14" ht="9.75" customHeight="1">
      <c r="A14" s="53"/>
      <c r="B14" s="58"/>
      <c r="C14" s="112"/>
      <c r="D14" s="108"/>
      <c r="E14" s="107"/>
      <c r="F14" s="108"/>
      <c r="G14" s="113"/>
      <c r="H14" s="111">
        <v>10.0</v>
      </c>
      <c r="I14" s="109">
        <v>10.0</v>
      </c>
      <c r="J14" s="111"/>
      <c r="K14" s="111"/>
      <c r="L14" s="108"/>
      <c r="M14" s="108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58" t="s">
        <v>89</v>
      </c>
      <c r="C15" s="112">
        <v>8.0</v>
      </c>
      <c r="D15" s="108"/>
      <c r="E15" s="107"/>
      <c r="F15" s="108"/>
      <c r="G15" s="113"/>
      <c r="H15" s="111">
        <v>20.0</v>
      </c>
      <c r="I15" s="109">
        <v>22.0</v>
      </c>
      <c r="J15" s="111"/>
      <c r="K15" s="111"/>
      <c r="L15" s="108"/>
      <c r="M15" s="108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58"/>
      <c r="C16" s="112"/>
      <c r="D16" s="108"/>
      <c r="E16" s="107"/>
      <c r="F16" s="108"/>
      <c r="G16" s="113"/>
      <c r="H16" s="111">
        <v>10.0</v>
      </c>
      <c r="I16" s="109">
        <v>10.0</v>
      </c>
      <c r="J16" s="111"/>
      <c r="K16" s="111"/>
      <c r="L16" s="108"/>
      <c r="M16" s="108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1"/>
      <c r="AA16" s="51"/>
      <c r="AB16" s="51"/>
      <c r="AC16" s="51"/>
    </row>
    <row r="17" ht="9.75" customHeight="1">
      <c r="A17" s="53"/>
      <c r="B17" s="58" t="s">
        <v>89</v>
      </c>
      <c r="C17" s="112">
        <v>8.0</v>
      </c>
      <c r="D17" s="108"/>
      <c r="E17" s="107"/>
      <c r="F17" s="108"/>
      <c r="G17" s="113"/>
      <c r="H17" s="111">
        <v>20.0</v>
      </c>
      <c r="I17" s="109">
        <v>22.0</v>
      </c>
      <c r="J17" s="111"/>
      <c r="K17" s="111"/>
      <c r="L17" s="108"/>
      <c r="M17" s="108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1"/>
      <c r="AA17" s="51"/>
      <c r="AB17" s="51"/>
      <c r="AC17" s="51"/>
    </row>
    <row r="18" ht="9.75" customHeight="1">
      <c r="A18" s="53"/>
      <c r="B18" s="58"/>
      <c r="C18" s="112"/>
      <c r="D18" s="108"/>
      <c r="E18" s="107"/>
      <c r="F18" s="108"/>
      <c r="G18" s="113"/>
      <c r="H18" s="111">
        <v>10.0</v>
      </c>
      <c r="I18" s="109">
        <v>10.0</v>
      </c>
      <c r="J18" s="111"/>
      <c r="K18" s="111"/>
      <c r="L18" s="108"/>
      <c r="M18" s="108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1"/>
      <c r="AA18" s="51"/>
      <c r="AB18" s="51"/>
      <c r="AC18" s="51"/>
    </row>
    <row r="19" ht="3.75" customHeight="1">
      <c r="A19" s="53" t="s">
        <v>67</v>
      </c>
      <c r="B19" s="58" t="s">
        <v>68</v>
      </c>
      <c r="C19" s="112">
        <v>8.0</v>
      </c>
      <c r="D19" s="108"/>
      <c r="E19" s="107">
        <v>36.0</v>
      </c>
      <c r="F19" s="108">
        <v>42.0</v>
      </c>
      <c r="G19" s="114"/>
      <c r="H19" s="111"/>
      <c r="I19" s="109"/>
      <c r="J19" s="111"/>
      <c r="K19" s="111"/>
      <c r="L19" s="108"/>
      <c r="M19" s="108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1"/>
      <c r="AA19" s="51"/>
      <c r="AB19" s="51"/>
      <c r="AC19" s="51"/>
    </row>
    <row r="20" ht="3.75" customHeight="1">
      <c r="A20" s="51"/>
      <c r="B20" s="58"/>
      <c r="C20" s="110"/>
      <c r="D20" s="111"/>
      <c r="E20" s="112">
        <v>8.0</v>
      </c>
      <c r="F20" s="111">
        <v>8.0</v>
      </c>
      <c r="G20" s="114"/>
      <c r="H20" s="111"/>
      <c r="I20" s="111"/>
      <c r="J20" s="111"/>
      <c r="K20" s="111"/>
      <c r="L20" s="111"/>
      <c r="M20" s="111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1"/>
      <c r="AA20" s="51"/>
      <c r="AB20" s="51"/>
      <c r="AC20" s="51"/>
    </row>
    <row r="21" ht="3.75" customHeight="1">
      <c r="A21" s="51"/>
      <c r="B21" s="58" t="s">
        <v>68</v>
      </c>
      <c r="C21" s="112">
        <v>8.0</v>
      </c>
      <c r="D21" s="108"/>
      <c r="E21" s="107">
        <v>42.0</v>
      </c>
      <c r="F21" s="108">
        <v>48.0</v>
      </c>
      <c r="G21" s="114"/>
      <c r="H21" s="111"/>
      <c r="I21" s="109"/>
      <c r="J21" s="111"/>
      <c r="K21" s="111"/>
      <c r="L21" s="108"/>
      <c r="M21" s="108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1"/>
      <c r="AA21" s="51"/>
      <c r="AB21" s="51"/>
      <c r="AC21" s="51"/>
    </row>
    <row r="22" ht="3.75" customHeight="1">
      <c r="A22" s="51"/>
      <c r="B22" s="58"/>
      <c r="C22" s="110"/>
      <c r="D22" s="111"/>
      <c r="E22" s="112">
        <v>5.0</v>
      </c>
      <c r="F22" s="111">
        <v>5.0</v>
      </c>
      <c r="G22" s="114"/>
      <c r="H22" s="111"/>
      <c r="I22" s="111"/>
      <c r="J22" s="111"/>
      <c r="K22" s="111"/>
      <c r="L22" s="111"/>
      <c r="M22" s="111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1"/>
      <c r="AA22" s="51"/>
      <c r="AB22" s="51"/>
      <c r="AC22" s="51"/>
    </row>
    <row r="23" ht="3.75" customHeight="1">
      <c r="A23" s="51"/>
      <c r="B23" s="58" t="s">
        <v>68</v>
      </c>
      <c r="C23" s="112">
        <v>8.0</v>
      </c>
      <c r="D23" s="108"/>
      <c r="E23" s="107">
        <v>46.0</v>
      </c>
      <c r="F23" s="108">
        <v>52.0</v>
      </c>
      <c r="G23" s="114"/>
      <c r="H23" s="111"/>
      <c r="I23" s="109"/>
      <c r="J23" s="111"/>
      <c r="K23" s="111"/>
      <c r="L23" s="108"/>
      <c r="M23" s="108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1"/>
      <c r="AA23" s="51"/>
      <c r="AB23" s="51"/>
      <c r="AC23" s="51"/>
    </row>
    <row r="24" ht="3.75" customHeight="1">
      <c r="A24" s="51"/>
      <c r="B24" s="58"/>
      <c r="C24" s="110"/>
      <c r="D24" s="111"/>
      <c r="E24" s="112">
        <v>3.0</v>
      </c>
      <c r="F24" s="111">
        <v>3.0</v>
      </c>
      <c r="G24" s="114"/>
      <c r="H24" s="111"/>
      <c r="I24" s="111"/>
      <c r="J24" s="111"/>
      <c r="K24" s="111"/>
      <c r="L24" s="111"/>
      <c r="M24" s="111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1"/>
      <c r="AA24" s="51"/>
      <c r="AB24" s="51"/>
      <c r="AC24" s="51"/>
    </row>
    <row r="25" ht="9.75" customHeight="1">
      <c r="A25" s="56" t="s">
        <v>90</v>
      </c>
      <c r="B25" s="58" t="s">
        <v>91</v>
      </c>
      <c r="C25" s="110"/>
      <c r="D25" s="111"/>
      <c r="E25" s="112"/>
      <c r="F25" s="111"/>
      <c r="G25" s="111">
        <v>12.0</v>
      </c>
      <c r="H25" s="111">
        <v>12.0</v>
      </c>
      <c r="I25" s="111">
        <v>12.0</v>
      </c>
      <c r="J25" s="111"/>
      <c r="K25" s="111"/>
      <c r="L25" s="111"/>
      <c r="M25" s="111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58"/>
      <c r="C26" s="110"/>
      <c r="D26" s="111"/>
      <c r="E26" s="112"/>
      <c r="F26" s="111"/>
      <c r="G26" s="111">
        <v>10.0</v>
      </c>
      <c r="H26" s="111">
        <v>11.0</v>
      </c>
      <c r="I26" s="111">
        <v>12.0</v>
      </c>
      <c r="J26" s="111"/>
      <c r="K26" s="111"/>
      <c r="L26" s="111"/>
      <c r="M26" s="111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1"/>
      <c r="AA26" s="51"/>
      <c r="AB26" s="51"/>
      <c r="AC26" s="51"/>
    </row>
    <row r="27" ht="9.75" customHeight="1">
      <c r="A27" s="51"/>
      <c r="B27" s="58" t="s">
        <v>91</v>
      </c>
      <c r="C27" s="110"/>
      <c r="D27" s="111"/>
      <c r="E27" s="112"/>
      <c r="F27" s="111"/>
      <c r="G27" s="111">
        <v>12.0</v>
      </c>
      <c r="H27" s="111">
        <v>12.0</v>
      </c>
      <c r="I27" s="111">
        <v>12.0</v>
      </c>
      <c r="J27" s="111"/>
      <c r="K27" s="111"/>
      <c r="L27" s="111"/>
      <c r="M27" s="111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1"/>
      <c r="AA27" s="51"/>
      <c r="AB27" s="51"/>
      <c r="AC27" s="51"/>
    </row>
    <row r="28" ht="9.75" customHeight="1">
      <c r="A28" s="51"/>
      <c r="B28" s="58"/>
      <c r="C28" s="110"/>
      <c r="D28" s="111"/>
      <c r="E28" s="112"/>
      <c r="F28" s="111"/>
      <c r="G28" s="111">
        <v>10.0</v>
      </c>
      <c r="H28" s="111">
        <v>11.0</v>
      </c>
      <c r="I28" s="111">
        <v>12.0</v>
      </c>
      <c r="J28" s="111"/>
      <c r="K28" s="111"/>
      <c r="L28" s="111"/>
      <c r="M28" s="111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1"/>
      <c r="AA28" s="51"/>
      <c r="AB28" s="51"/>
      <c r="AC28" s="51"/>
    </row>
    <row r="29" ht="9.75" customHeight="1">
      <c r="A29" s="51"/>
      <c r="B29" s="58" t="s">
        <v>91</v>
      </c>
      <c r="C29" s="110"/>
      <c r="D29" s="111"/>
      <c r="E29" s="112"/>
      <c r="F29" s="111"/>
      <c r="G29" s="111">
        <v>12.0</v>
      </c>
      <c r="H29" s="111">
        <v>12.0</v>
      </c>
      <c r="I29" s="111">
        <v>12.0</v>
      </c>
      <c r="J29" s="111"/>
      <c r="K29" s="111"/>
      <c r="L29" s="111"/>
      <c r="M29" s="111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1"/>
      <c r="AA29" s="51"/>
      <c r="AB29" s="51"/>
      <c r="AC29" s="51"/>
    </row>
    <row r="30" ht="9.75" customHeight="1">
      <c r="A30" s="51"/>
      <c r="B30" s="58"/>
      <c r="C30" s="110"/>
      <c r="D30" s="111"/>
      <c r="E30" s="112"/>
      <c r="F30" s="111"/>
      <c r="G30" s="111">
        <v>10.0</v>
      </c>
      <c r="H30" s="111">
        <v>11.0</v>
      </c>
      <c r="I30" s="111">
        <v>12.0</v>
      </c>
      <c r="J30" s="111"/>
      <c r="K30" s="111"/>
      <c r="L30" s="111"/>
      <c r="M30" s="11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1"/>
      <c r="AA30" s="51"/>
      <c r="AB30" s="51"/>
      <c r="AC30" s="51"/>
    </row>
    <row r="31" ht="9.75" customHeight="1">
      <c r="A31" s="56" t="s">
        <v>92</v>
      </c>
      <c r="B31" s="58" t="s">
        <v>93</v>
      </c>
      <c r="C31" s="110"/>
      <c r="D31" s="111"/>
      <c r="E31" s="111"/>
      <c r="F31" s="111"/>
      <c r="G31" s="111">
        <v>0.0</v>
      </c>
      <c r="H31" s="111">
        <v>0.0</v>
      </c>
      <c r="I31" s="111">
        <v>0.0</v>
      </c>
      <c r="J31" s="111"/>
      <c r="K31" s="111"/>
      <c r="L31" s="115"/>
      <c r="M31" s="115"/>
      <c r="N31" s="53"/>
      <c r="O31" s="51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1"/>
      <c r="AA31" s="51"/>
      <c r="AB31" s="51"/>
      <c r="AC31" s="51"/>
    </row>
    <row r="32" ht="9.75" customHeight="1">
      <c r="A32" s="53"/>
      <c r="B32" s="58"/>
      <c r="C32" s="110"/>
      <c r="D32" s="111"/>
      <c r="E32" s="111"/>
      <c r="F32" s="111"/>
      <c r="G32" s="111">
        <v>6.0</v>
      </c>
      <c r="H32" s="111">
        <v>8.0</v>
      </c>
      <c r="I32" s="111">
        <v>10.0</v>
      </c>
      <c r="J32" s="111"/>
      <c r="K32" s="111"/>
      <c r="L32" s="115"/>
      <c r="M32" s="115"/>
      <c r="N32" s="53"/>
      <c r="O32" s="51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1"/>
      <c r="AA32" s="51"/>
      <c r="AB32" s="51"/>
      <c r="AC32" s="51"/>
    </row>
    <row r="33" ht="9.75" customHeight="1">
      <c r="A33" s="56" t="s">
        <v>94</v>
      </c>
      <c r="B33" s="58" t="s">
        <v>95</v>
      </c>
      <c r="C33" s="110"/>
      <c r="D33" s="111"/>
      <c r="E33" s="111"/>
      <c r="F33" s="111"/>
      <c r="G33" s="111">
        <v>0.0</v>
      </c>
      <c r="H33" s="111">
        <v>0.0</v>
      </c>
      <c r="I33" s="111">
        <v>0.0</v>
      </c>
      <c r="J33" s="111"/>
      <c r="K33" s="111"/>
      <c r="L33" s="115"/>
      <c r="M33" s="115"/>
      <c r="N33" s="53"/>
      <c r="O33" s="51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1"/>
      <c r="AA33" s="51"/>
      <c r="AB33" s="51"/>
      <c r="AC33" s="51"/>
    </row>
    <row r="34" ht="9.75" customHeight="1">
      <c r="A34" s="56"/>
      <c r="B34" s="58"/>
      <c r="C34" s="110"/>
      <c r="D34" s="111"/>
      <c r="E34" s="111"/>
      <c r="F34" s="111"/>
      <c r="G34" s="111">
        <v>6.0</v>
      </c>
      <c r="H34" s="111">
        <v>8.0</v>
      </c>
      <c r="I34" s="111">
        <v>8.0</v>
      </c>
      <c r="J34" s="111"/>
      <c r="K34" s="111"/>
      <c r="L34" s="115"/>
      <c r="M34" s="115"/>
      <c r="N34" s="53"/>
      <c r="O34" s="51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1"/>
      <c r="AA34" s="51"/>
      <c r="AB34" s="51"/>
      <c r="AC34" s="51"/>
    </row>
    <row r="35" ht="9.75" customHeight="1">
      <c r="A35" s="56" t="s">
        <v>96</v>
      </c>
      <c r="B35" s="58" t="s">
        <v>97</v>
      </c>
      <c r="C35" s="110"/>
      <c r="D35" s="111"/>
      <c r="E35" s="111"/>
      <c r="F35" s="111"/>
      <c r="G35" s="111">
        <v>0.0</v>
      </c>
      <c r="H35" s="111">
        <v>0.0</v>
      </c>
      <c r="I35" s="111">
        <v>0.0</v>
      </c>
      <c r="J35" s="111"/>
      <c r="K35" s="111"/>
      <c r="L35" s="115"/>
      <c r="M35" s="115"/>
      <c r="N35" s="53"/>
      <c r="O35" s="51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1"/>
      <c r="AA35" s="51"/>
      <c r="AB35" s="51"/>
      <c r="AC35" s="51"/>
    </row>
    <row r="36" ht="9.75" customHeight="1">
      <c r="A36" s="53"/>
      <c r="B36" s="58"/>
      <c r="C36" s="110"/>
      <c r="D36" s="111"/>
      <c r="E36" s="111"/>
      <c r="F36" s="111"/>
      <c r="G36" s="111">
        <v>6.0</v>
      </c>
      <c r="H36" s="111">
        <v>6.0</v>
      </c>
      <c r="I36" s="111">
        <v>6.0</v>
      </c>
      <c r="J36" s="111"/>
      <c r="K36" s="111"/>
      <c r="L36" s="115"/>
      <c r="M36" s="115"/>
      <c r="N36" s="53"/>
      <c r="O36" s="51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1"/>
      <c r="AA36" s="51"/>
      <c r="AB36" s="51"/>
      <c r="AC36" s="51"/>
    </row>
    <row r="37" ht="9.75" customHeight="1">
      <c r="A37" s="53" t="s">
        <v>98</v>
      </c>
      <c r="B37" s="58" t="s">
        <v>99</v>
      </c>
      <c r="C37" s="110"/>
      <c r="D37" s="111">
        <v>0.0</v>
      </c>
      <c r="E37" s="111">
        <v>0.0</v>
      </c>
      <c r="F37" s="111">
        <v>0.0</v>
      </c>
      <c r="G37" s="111">
        <v>0.0</v>
      </c>
      <c r="H37" s="111">
        <v>0.0</v>
      </c>
      <c r="I37" s="111">
        <v>0.0</v>
      </c>
      <c r="J37" s="111"/>
      <c r="K37" s="111"/>
      <c r="L37" s="115"/>
      <c r="M37" s="115"/>
      <c r="N37" s="53"/>
      <c r="O37" s="51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1"/>
      <c r="AA37" s="51"/>
      <c r="AB37" s="51"/>
      <c r="AC37" s="51"/>
    </row>
    <row r="38" ht="9.75" customHeight="1">
      <c r="A38" s="53"/>
      <c r="B38" s="93"/>
      <c r="C38" s="110"/>
      <c r="D38" s="111">
        <v>8.0</v>
      </c>
      <c r="E38" s="111">
        <v>10.0</v>
      </c>
      <c r="F38" s="111">
        <v>12.0</v>
      </c>
      <c r="G38" s="111">
        <v>14.0</v>
      </c>
      <c r="H38" s="111">
        <v>16.0</v>
      </c>
      <c r="I38" s="111">
        <v>18.0</v>
      </c>
      <c r="J38" s="111"/>
      <c r="K38" s="111"/>
      <c r="L38" s="115"/>
      <c r="M38" s="115"/>
      <c r="N38" s="53"/>
      <c r="O38" s="51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1"/>
      <c r="AA38" s="51"/>
      <c r="AB38" s="51"/>
      <c r="AC38" s="51"/>
    </row>
    <row r="39" ht="9.75" customHeight="1">
      <c r="A39" s="51"/>
      <c r="B39" s="58" t="s">
        <v>99</v>
      </c>
      <c r="C39" s="110"/>
      <c r="D39" s="111">
        <v>0.0</v>
      </c>
      <c r="E39" s="111">
        <v>0.0</v>
      </c>
      <c r="F39" s="111">
        <v>0.0</v>
      </c>
      <c r="G39" s="111">
        <v>0.0</v>
      </c>
      <c r="H39" s="111">
        <v>0.0</v>
      </c>
      <c r="I39" s="111">
        <v>0.0</v>
      </c>
      <c r="J39" s="111"/>
      <c r="K39" s="111"/>
      <c r="L39" s="115"/>
      <c r="M39" s="115"/>
      <c r="N39" s="53"/>
      <c r="O39" s="51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1"/>
      <c r="AA39" s="51"/>
      <c r="AB39" s="51"/>
      <c r="AC39" s="51"/>
    </row>
    <row r="40" ht="9.75" customHeight="1">
      <c r="A40" s="51"/>
      <c r="B40" s="93"/>
      <c r="C40" s="112"/>
      <c r="D40" s="111">
        <v>8.0</v>
      </c>
      <c r="E40" s="111">
        <v>10.0</v>
      </c>
      <c r="F40" s="111">
        <v>12.0</v>
      </c>
      <c r="G40" s="111">
        <v>14.0</v>
      </c>
      <c r="H40" s="111">
        <v>16.0</v>
      </c>
      <c r="I40" s="111">
        <v>18.0</v>
      </c>
      <c r="J40" s="115"/>
      <c r="K40" s="115"/>
      <c r="L40" s="111"/>
      <c r="M40" s="115"/>
      <c r="N40" s="53"/>
      <c r="O40" s="51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1"/>
      <c r="AA40" s="51"/>
      <c r="AB40" s="51"/>
      <c r="AC40" s="51"/>
    </row>
    <row r="41" ht="9.75" customHeight="1">
      <c r="A41" s="53"/>
      <c r="B41" s="58" t="s">
        <v>99</v>
      </c>
      <c r="C41" s="110"/>
      <c r="D41" s="111">
        <v>0.0</v>
      </c>
      <c r="E41" s="111">
        <v>0.0</v>
      </c>
      <c r="F41" s="111">
        <v>0.0</v>
      </c>
      <c r="G41" s="111">
        <v>0.0</v>
      </c>
      <c r="H41" s="111">
        <v>0.0</v>
      </c>
      <c r="I41" s="111">
        <v>0.0</v>
      </c>
      <c r="J41" s="115"/>
      <c r="K41" s="115"/>
      <c r="L41" s="111"/>
      <c r="M41" s="115"/>
      <c r="N41" s="53"/>
      <c r="O41" s="51"/>
      <c r="P41" s="53"/>
      <c r="Q41" s="53"/>
      <c r="R41" s="53"/>
      <c r="S41" s="53"/>
      <c r="T41" s="53"/>
      <c r="U41" s="53"/>
      <c r="V41" s="53"/>
      <c r="W41" s="53"/>
      <c r="X41" s="53"/>
      <c r="Y41" s="51"/>
      <c r="Z41" s="51"/>
      <c r="AA41" s="51"/>
      <c r="AB41" s="51"/>
      <c r="AC41" s="51"/>
    </row>
    <row r="42" ht="9.75" customHeight="1">
      <c r="A42" s="53"/>
      <c r="B42" s="58"/>
      <c r="C42" s="110"/>
      <c r="D42" s="111">
        <v>8.0</v>
      </c>
      <c r="E42" s="111">
        <v>10.0</v>
      </c>
      <c r="F42" s="111">
        <v>12.0</v>
      </c>
      <c r="G42" s="111">
        <v>14.0</v>
      </c>
      <c r="H42" s="111">
        <v>16.0</v>
      </c>
      <c r="I42" s="111">
        <v>18.0</v>
      </c>
      <c r="J42" s="115"/>
      <c r="K42" s="115"/>
      <c r="L42" s="111"/>
      <c r="M42" s="115"/>
      <c r="N42" s="53"/>
      <c r="O42" s="51"/>
      <c r="P42" s="53"/>
      <c r="Q42" s="53"/>
      <c r="R42" s="53"/>
      <c r="S42" s="53"/>
      <c r="T42" s="53"/>
      <c r="U42" s="53"/>
      <c r="V42" s="53"/>
      <c r="W42" s="53"/>
      <c r="X42" s="53"/>
      <c r="Y42" s="51"/>
      <c r="Z42" s="51"/>
      <c r="AA42" s="51"/>
      <c r="AB42" s="51"/>
      <c r="AC42" s="51"/>
    </row>
    <row r="43" ht="9.75" customHeight="1">
      <c r="A43" s="53" t="s">
        <v>45</v>
      </c>
      <c r="B43" s="58" t="s">
        <v>100</v>
      </c>
      <c r="C43" s="110"/>
      <c r="D43" s="111" t="s">
        <v>46</v>
      </c>
      <c r="E43" s="111" t="s">
        <v>46</v>
      </c>
      <c r="F43" s="111" t="s">
        <v>46</v>
      </c>
      <c r="G43" s="111" t="s">
        <v>46</v>
      </c>
      <c r="H43" s="111" t="s">
        <v>46</v>
      </c>
      <c r="I43" s="111" t="s">
        <v>46</v>
      </c>
      <c r="J43" s="115"/>
      <c r="K43" s="115"/>
      <c r="L43" s="111"/>
      <c r="M43" s="115"/>
      <c r="N43" s="53"/>
      <c r="O43" s="51"/>
      <c r="P43" s="53"/>
      <c r="Q43" s="53"/>
      <c r="R43" s="53"/>
      <c r="S43" s="53"/>
      <c r="T43" s="53"/>
      <c r="U43" s="53"/>
      <c r="V43" s="53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58"/>
      <c r="C44" s="110"/>
      <c r="D44" s="111">
        <v>8.0</v>
      </c>
      <c r="E44" s="111">
        <v>10.0</v>
      </c>
      <c r="F44" s="111">
        <v>12.0</v>
      </c>
      <c r="G44" s="111">
        <v>12.0</v>
      </c>
      <c r="H44" s="111">
        <v>15.0</v>
      </c>
      <c r="I44" s="111">
        <v>15.0</v>
      </c>
      <c r="J44" s="115"/>
      <c r="K44" s="115"/>
      <c r="L44" s="111"/>
      <c r="M44" s="115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>
        <v>31.0</v>
      </c>
      <c r="AA44" s="51"/>
      <c r="AB44" s="51"/>
      <c r="AC44" s="51"/>
    </row>
    <row r="45" ht="9.75" customHeight="1">
      <c r="A45" s="53"/>
      <c r="B45" s="58" t="s">
        <v>100</v>
      </c>
      <c r="C45" s="110"/>
      <c r="D45" s="111" t="s">
        <v>46</v>
      </c>
      <c r="E45" s="111" t="s">
        <v>46</v>
      </c>
      <c r="F45" s="111" t="s">
        <v>46</v>
      </c>
      <c r="G45" s="111" t="s">
        <v>46</v>
      </c>
      <c r="H45" s="111" t="s">
        <v>46</v>
      </c>
      <c r="I45" s="111" t="s">
        <v>46</v>
      </c>
      <c r="J45" s="115"/>
      <c r="K45" s="115"/>
      <c r="L45" s="111"/>
      <c r="M45" s="115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>
        <v>12.0</v>
      </c>
      <c r="AA45" s="51"/>
      <c r="AB45" s="51"/>
      <c r="AC45" s="51"/>
    </row>
    <row r="46" ht="9.75" customHeight="1">
      <c r="A46" s="53"/>
      <c r="B46" s="58"/>
      <c r="C46" s="116"/>
      <c r="D46" s="111">
        <v>8.0</v>
      </c>
      <c r="E46" s="111">
        <v>10.0</v>
      </c>
      <c r="F46" s="111">
        <v>12.0</v>
      </c>
      <c r="G46" s="111">
        <v>12.0</v>
      </c>
      <c r="H46" s="111">
        <v>15.0</v>
      </c>
      <c r="I46" s="111">
        <v>15.0</v>
      </c>
      <c r="J46" s="117"/>
      <c r="K46" s="117"/>
      <c r="L46" s="111"/>
      <c r="M46" s="115"/>
      <c r="N46" s="53"/>
      <c r="O46" s="53"/>
      <c r="P46" s="53"/>
      <c r="Q46" s="53"/>
      <c r="R46" s="53"/>
      <c r="S46" s="53"/>
      <c r="T46" s="53"/>
      <c r="U46" s="53"/>
      <c r="V46" s="53"/>
      <c r="W46" s="51"/>
      <c r="X46" s="53"/>
      <c r="Y46" s="51"/>
      <c r="Z46" s="51"/>
      <c r="AA46" s="51"/>
      <c r="AB46" s="51"/>
      <c r="AC46" s="51"/>
    </row>
    <row r="47" ht="9.75" customHeight="1">
      <c r="A47" s="53"/>
      <c r="B47" s="58" t="s">
        <v>100</v>
      </c>
      <c r="C47" s="116"/>
      <c r="D47" s="111" t="s">
        <v>46</v>
      </c>
      <c r="E47" s="111" t="s">
        <v>46</v>
      </c>
      <c r="F47" s="111" t="s">
        <v>46</v>
      </c>
      <c r="G47" s="111" t="s">
        <v>46</v>
      </c>
      <c r="H47" s="111" t="s">
        <v>46</v>
      </c>
      <c r="I47" s="111" t="s">
        <v>46</v>
      </c>
      <c r="J47" s="117"/>
      <c r="K47" s="117"/>
      <c r="L47" s="111"/>
      <c r="M47" s="115"/>
      <c r="N47" s="53"/>
      <c r="O47" s="53"/>
      <c r="P47" s="53"/>
      <c r="Q47" s="53"/>
      <c r="R47" s="53"/>
      <c r="S47" s="53"/>
      <c r="T47" s="53"/>
      <c r="U47" s="53"/>
      <c r="V47" s="53"/>
      <c r="W47" s="51"/>
      <c r="X47" s="53"/>
      <c r="Y47" s="51"/>
      <c r="Z47" s="51"/>
      <c r="AA47" s="51"/>
      <c r="AB47" s="51"/>
      <c r="AC47" s="51"/>
    </row>
    <row r="48" ht="9.75" customHeight="1">
      <c r="A48" s="51"/>
      <c r="B48" s="93"/>
      <c r="C48" s="118"/>
      <c r="D48" s="111">
        <v>8.0</v>
      </c>
      <c r="E48" s="111">
        <v>10.0</v>
      </c>
      <c r="F48" s="111">
        <v>12.0</v>
      </c>
      <c r="G48" s="111">
        <v>12.0</v>
      </c>
      <c r="H48" s="111">
        <v>15.0</v>
      </c>
      <c r="I48" s="111">
        <v>15.0</v>
      </c>
      <c r="J48" s="109"/>
      <c r="K48" s="109"/>
      <c r="L48" s="117"/>
      <c r="M48" s="115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1"/>
      <c r="AA48" s="51"/>
      <c r="AB48" s="51"/>
      <c r="AC48" s="51"/>
    </row>
    <row r="49" ht="9.75" customHeight="1">
      <c r="A49" s="53" t="s">
        <v>101</v>
      </c>
      <c r="B49" s="58" t="s">
        <v>102</v>
      </c>
      <c r="C49" s="116"/>
      <c r="D49" s="109" t="s">
        <v>103</v>
      </c>
      <c r="E49" s="109" t="s">
        <v>103</v>
      </c>
      <c r="F49" s="109" t="s">
        <v>103</v>
      </c>
      <c r="G49" s="109" t="s">
        <v>103</v>
      </c>
      <c r="H49" s="109" t="s">
        <v>103</v>
      </c>
      <c r="I49" s="109" t="s">
        <v>103</v>
      </c>
      <c r="J49" s="109"/>
      <c r="K49" s="109"/>
      <c r="L49" s="117"/>
      <c r="M49" s="115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1"/>
      <c r="AA49" s="51"/>
      <c r="AB49" s="51"/>
      <c r="AC49" s="51"/>
    </row>
    <row r="50" ht="9.75" customHeight="1">
      <c r="A50" s="51"/>
      <c r="B50" s="93"/>
      <c r="C50" s="116"/>
      <c r="D50" s="109">
        <v>8.0</v>
      </c>
      <c r="E50" s="109">
        <v>10.0</v>
      </c>
      <c r="F50" s="109">
        <v>10.0</v>
      </c>
      <c r="G50" s="109">
        <v>12.0</v>
      </c>
      <c r="H50" s="109">
        <v>15.0</v>
      </c>
      <c r="I50" s="109">
        <v>20.0</v>
      </c>
      <c r="J50" s="109"/>
      <c r="K50" s="109"/>
      <c r="L50" s="117"/>
      <c r="M50" s="115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1"/>
      <c r="Z50" s="51"/>
      <c r="AA50" s="51"/>
      <c r="AB50" s="51"/>
      <c r="AC50" s="51"/>
    </row>
    <row r="51" ht="9.75" customHeight="1">
      <c r="A51" s="53"/>
      <c r="B51" s="58" t="s">
        <v>102</v>
      </c>
      <c r="C51" s="116"/>
      <c r="D51" s="109" t="s">
        <v>103</v>
      </c>
      <c r="E51" s="109"/>
      <c r="F51" s="109" t="s">
        <v>103</v>
      </c>
      <c r="G51" s="109" t="s">
        <v>103</v>
      </c>
      <c r="H51" s="109" t="s">
        <v>103</v>
      </c>
      <c r="I51" s="109" t="s">
        <v>103</v>
      </c>
      <c r="J51" s="109"/>
      <c r="K51" s="109"/>
      <c r="L51" s="117"/>
      <c r="M51" s="115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1"/>
      <c r="Z51" s="51"/>
      <c r="AA51" s="51"/>
      <c r="AB51" s="51"/>
      <c r="AC51" s="51"/>
    </row>
    <row r="52" ht="9.75" customHeight="1">
      <c r="A52" s="53"/>
      <c r="B52" s="58"/>
      <c r="C52" s="110"/>
      <c r="D52" s="109">
        <v>8.0</v>
      </c>
      <c r="E52" s="109"/>
      <c r="F52" s="109">
        <v>10.0</v>
      </c>
      <c r="G52" s="109">
        <v>12.0</v>
      </c>
      <c r="H52" s="109">
        <v>15.0</v>
      </c>
      <c r="I52" s="109">
        <v>20.0</v>
      </c>
      <c r="J52" s="109"/>
      <c r="K52" s="109"/>
      <c r="L52" s="115"/>
      <c r="M52" s="115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1"/>
      <c r="AA52" s="51"/>
      <c r="AB52" s="51"/>
      <c r="AC52" s="51"/>
    </row>
    <row r="53" ht="9.75" customHeight="1">
      <c r="A53" s="53"/>
      <c r="B53" s="58" t="s">
        <v>102</v>
      </c>
      <c r="C53" s="110"/>
      <c r="D53" s="109" t="s">
        <v>103</v>
      </c>
      <c r="E53" s="109"/>
      <c r="F53" s="109" t="s">
        <v>103</v>
      </c>
      <c r="G53" s="109" t="s">
        <v>103</v>
      </c>
      <c r="H53" s="109" t="s">
        <v>103</v>
      </c>
      <c r="I53" s="109" t="s">
        <v>103</v>
      </c>
      <c r="J53" s="109"/>
      <c r="K53" s="109"/>
      <c r="L53" s="115"/>
      <c r="M53" s="115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1"/>
      <c r="AA53" s="51"/>
      <c r="AB53" s="51"/>
      <c r="AC53" s="51"/>
    </row>
    <row r="54" ht="9.75" customHeight="1">
      <c r="A54" s="51"/>
      <c r="B54" s="58"/>
      <c r="C54" s="112"/>
      <c r="D54" s="109">
        <v>8.0</v>
      </c>
      <c r="E54" s="109"/>
      <c r="F54" s="109">
        <v>10.0</v>
      </c>
      <c r="G54" s="109">
        <v>12.0</v>
      </c>
      <c r="H54" s="109">
        <v>15.0</v>
      </c>
      <c r="I54" s="109">
        <v>20.0</v>
      </c>
      <c r="J54" s="115"/>
      <c r="K54" s="115"/>
      <c r="L54" s="115"/>
      <c r="M54" s="115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1"/>
      <c r="Z54" s="51"/>
      <c r="AA54" s="51"/>
      <c r="AB54" s="51"/>
      <c r="AC54" s="51"/>
    </row>
    <row r="55" ht="4.5" customHeight="1">
      <c r="A55" s="53" t="s">
        <v>104</v>
      </c>
      <c r="B55" s="58" t="s">
        <v>70</v>
      </c>
      <c r="C55" s="112">
        <v>8.0</v>
      </c>
      <c r="D55" s="111">
        <v>20.0</v>
      </c>
      <c r="E55" s="115"/>
      <c r="F55" s="111"/>
      <c r="G55" s="119"/>
      <c r="H55" s="115"/>
      <c r="I55" s="111"/>
      <c r="J55" s="115"/>
      <c r="K55" s="115"/>
      <c r="L55" s="115"/>
      <c r="M55" s="115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1"/>
      <c r="Z55" s="51"/>
      <c r="AA55" s="51"/>
      <c r="AB55" s="51"/>
      <c r="AC55" s="51"/>
    </row>
    <row r="56" ht="4.5" customHeight="1">
      <c r="A56" s="53"/>
      <c r="B56" s="58"/>
      <c r="C56" s="110"/>
      <c r="D56" s="111">
        <v>8.0</v>
      </c>
      <c r="E56" s="115"/>
      <c r="F56" s="111"/>
      <c r="G56" s="119"/>
      <c r="H56" s="115"/>
      <c r="I56" s="111"/>
      <c r="J56" s="115"/>
      <c r="K56" s="115"/>
      <c r="L56" s="115"/>
      <c r="M56" s="115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1"/>
      <c r="AA56" s="51"/>
      <c r="AB56" s="51"/>
      <c r="AC56" s="51"/>
    </row>
    <row r="57" ht="4.5" customHeight="1">
      <c r="A57" s="51"/>
      <c r="B57" s="58" t="s">
        <v>70</v>
      </c>
      <c r="C57" s="112">
        <v>8.0</v>
      </c>
      <c r="D57" s="111">
        <v>20.0</v>
      </c>
      <c r="E57" s="115"/>
      <c r="F57" s="111"/>
      <c r="G57" s="119"/>
      <c r="H57" s="115"/>
      <c r="I57" s="111"/>
      <c r="J57" s="115"/>
      <c r="K57" s="115"/>
      <c r="L57" s="115"/>
      <c r="M57" s="115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1"/>
      <c r="AA57" s="51"/>
      <c r="AB57" s="51"/>
      <c r="AC57" s="51"/>
    </row>
    <row r="58" ht="4.5" customHeight="1">
      <c r="A58" s="51"/>
      <c r="B58" s="58"/>
      <c r="C58" s="110"/>
      <c r="D58" s="111">
        <v>8.0</v>
      </c>
      <c r="E58" s="115"/>
      <c r="F58" s="111"/>
      <c r="G58" s="119"/>
      <c r="H58" s="115"/>
      <c r="I58" s="111"/>
      <c r="J58" s="115"/>
      <c r="K58" s="115"/>
      <c r="L58" s="115"/>
      <c r="M58" s="115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1"/>
      <c r="Z58" s="51"/>
      <c r="AA58" s="51"/>
      <c r="AB58" s="51"/>
      <c r="AC58" s="51"/>
    </row>
    <row r="59" ht="4.5" customHeight="1">
      <c r="A59" s="51"/>
      <c r="B59" s="58" t="s">
        <v>70</v>
      </c>
      <c r="C59" s="112">
        <v>8.0</v>
      </c>
      <c r="D59" s="111">
        <v>20.0</v>
      </c>
      <c r="E59" s="115"/>
      <c r="F59" s="111"/>
      <c r="G59" s="119"/>
      <c r="H59" s="115"/>
      <c r="I59" s="111"/>
      <c r="J59" s="115"/>
      <c r="K59" s="115"/>
      <c r="L59" s="115"/>
      <c r="M59" s="115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1"/>
      <c r="Z59" s="51"/>
      <c r="AA59" s="51"/>
      <c r="AB59" s="51"/>
      <c r="AC59" s="51"/>
    </row>
    <row r="60" ht="4.5" customHeight="1">
      <c r="A60" s="51"/>
      <c r="B60" s="58"/>
      <c r="C60" s="112"/>
      <c r="D60" s="111">
        <v>8.0</v>
      </c>
      <c r="E60" s="115"/>
      <c r="F60" s="111"/>
      <c r="G60" s="114"/>
      <c r="H60" s="111"/>
      <c r="I60" s="115"/>
      <c r="J60" s="111"/>
      <c r="K60" s="111"/>
      <c r="L60" s="115"/>
      <c r="M60" s="115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1"/>
      <c r="Z60" s="51"/>
      <c r="AA60" s="51"/>
      <c r="AB60" s="51"/>
      <c r="AC60" s="51"/>
    </row>
    <row r="61" ht="4.5" customHeight="1">
      <c r="A61" s="53" t="s">
        <v>105</v>
      </c>
      <c r="B61" s="58" t="s">
        <v>86</v>
      </c>
      <c r="C61" s="110"/>
      <c r="D61" s="111"/>
      <c r="E61" s="111">
        <v>7.5</v>
      </c>
      <c r="F61" s="111"/>
      <c r="G61" s="114"/>
      <c r="H61" s="111"/>
      <c r="I61" s="115"/>
      <c r="J61" s="111"/>
      <c r="K61" s="111"/>
      <c r="L61" s="115"/>
      <c r="M61" s="115"/>
      <c r="N61" s="51"/>
      <c r="O61" s="51"/>
      <c r="P61" s="51"/>
      <c r="Q61" s="51"/>
      <c r="R61" s="51"/>
      <c r="S61" s="51"/>
      <c r="T61" s="51"/>
      <c r="U61" s="51"/>
      <c r="V61" s="53"/>
      <c r="W61" s="51"/>
      <c r="X61" s="51"/>
      <c r="Y61" s="51"/>
      <c r="Z61" s="51"/>
      <c r="AA61" s="51"/>
      <c r="AB61" s="51"/>
      <c r="AC61" s="51"/>
    </row>
    <row r="62" ht="5.25" customHeight="1">
      <c r="A62" s="51"/>
      <c r="B62" s="58"/>
      <c r="C62" s="110"/>
      <c r="D62" s="111"/>
      <c r="E62" s="111">
        <v>10.0</v>
      </c>
      <c r="F62" s="111"/>
      <c r="G62" s="114"/>
      <c r="H62" s="111"/>
      <c r="I62" s="115"/>
      <c r="J62" s="111"/>
      <c r="K62" s="111"/>
      <c r="L62" s="115"/>
      <c r="M62" s="115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</row>
    <row r="63" ht="5.25" customHeight="1">
      <c r="A63" s="53" t="s">
        <v>106</v>
      </c>
      <c r="B63" s="58" t="s">
        <v>107</v>
      </c>
      <c r="C63" s="112">
        <v>8.0</v>
      </c>
      <c r="D63" s="111">
        <v>20.0</v>
      </c>
      <c r="E63" s="111">
        <v>20.0</v>
      </c>
      <c r="F63" s="111"/>
      <c r="G63" s="114"/>
      <c r="H63" s="111"/>
      <c r="I63" s="115"/>
      <c r="J63" s="111"/>
      <c r="K63" s="111"/>
      <c r="L63" s="115"/>
      <c r="M63" s="115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</row>
    <row r="64" ht="5.25" customHeight="1">
      <c r="A64" s="51"/>
      <c r="B64" s="58"/>
      <c r="C64" s="110"/>
      <c r="D64" s="111">
        <v>8.0</v>
      </c>
      <c r="E64" s="111">
        <v>10.0</v>
      </c>
      <c r="F64" s="111"/>
      <c r="G64" s="114"/>
      <c r="H64" s="111"/>
      <c r="I64" s="115"/>
      <c r="J64" s="111"/>
      <c r="K64" s="111"/>
      <c r="L64" s="115"/>
      <c r="M64" s="115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</row>
    <row r="65" ht="5.25" customHeight="1">
      <c r="A65" s="51"/>
      <c r="B65" s="58" t="s">
        <v>107</v>
      </c>
      <c r="C65" s="112">
        <v>8.0</v>
      </c>
      <c r="D65" s="111">
        <v>20.0</v>
      </c>
      <c r="E65" s="111">
        <v>20.0</v>
      </c>
      <c r="F65" s="111"/>
      <c r="G65" s="114"/>
      <c r="H65" s="111"/>
      <c r="I65" s="115"/>
      <c r="J65" s="111"/>
      <c r="K65" s="111"/>
      <c r="L65" s="115"/>
      <c r="M65" s="115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</row>
    <row r="66" ht="5.25" customHeight="1">
      <c r="A66" s="120"/>
      <c r="B66" s="58"/>
      <c r="C66" s="112"/>
      <c r="D66" s="111">
        <v>8.0</v>
      </c>
      <c r="E66" s="111">
        <v>10.0</v>
      </c>
      <c r="F66" s="115"/>
      <c r="G66" s="121"/>
      <c r="H66" s="51"/>
      <c r="I66" s="111"/>
      <c r="J66" s="115"/>
      <c r="K66" s="115"/>
      <c r="L66" s="115"/>
      <c r="M66" s="115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3"/>
      <c r="AC66" s="123"/>
    </row>
    <row r="67" ht="5.25" customHeight="1">
      <c r="A67" s="120"/>
      <c r="B67" s="58" t="s">
        <v>107</v>
      </c>
      <c r="C67" s="112">
        <v>8.0</v>
      </c>
      <c r="D67" s="111">
        <v>20.0</v>
      </c>
      <c r="E67" s="111">
        <v>20.0</v>
      </c>
      <c r="F67" s="115"/>
      <c r="G67" s="121"/>
      <c r="H67" s="51"/>
      <c r="I67" s="111"/>
      <c r="J67" s="115"/>
      <c r="K67" s="115"/>
      <c r="L67" s="115"/>
      <c r="M67" s="115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3"/>
      <c r="AC67" s="123"/>
    </row>
    <row r="68" ht="5.25" customHeight="1">
      <c r="A68" s="120"/>
      <c r="B68" s="58"/>
      <c r="C68" s="110"/>
      <c r="D68" s="111">
        <v>8.0</v>
      </c>
      <c r="E68" s="111">
        <v>10.0</v>
      </c>
      <c r="F68" s="115"/>
      <c r="G68" s="121"/>
      <c r="H68" s="51"/>
      <c r="I68" s="111"/>
      <c r="J68" s="115"/>
      <c r="K68" s="115"/>
      <c r="L68" s="115"/>
      <c r="M68" s="115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3"/>
      <c r="AC68" s="123"/>
    </row>
    <row r="69" ht="5.25" customHeight="1">
      <c r="A69" s="53" t="s">
        <v>108</v>
      </c>
      <c r="B69" s="58" t="s">
        <v>109</v>
      </c>
      <c r="C69" s="112">
        <v>8.0</v>
      </c>
      <c r="D69" s="115"/>
      <c r="E69" s="111"/>
      <c r="F69" s="111">
        <v>40.0</v>
      </c>
      <c r="G69" s="121"/>
      <c r="H69" s="51"/>
      <c r="I69" s="111"/>
      <c r="J69" s="115"/>
      <c r="K69" s="115"/>
      <c r="L69" s="115"/>
      <c r="M69" s="115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3"/>
      <c r="AC69" s="123"/>
    </row>
    <row r="70" ht="5.25" customHeight="1">
      <c r="A70" s="51"/>
      <c r="B70" s="58"/>
      <c r="C70" s="110"/>
      <c r="D70" s="115"/>
      <c r="E70" s="111"/>
      <c r="F70" s="111">
        <v>3.0</v>
      </c>
      <c r="G70" s="121"/>
      <c r="H70" s="51"/>
      <c r="I70" s="111"/>
      <c r="J70" s="115"/>
      <c r="K70" s="115"/>
      <c r="L70" s="115"/>
      <c r="M70" s="115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3"/>
      <c r="AC70" s="123"/>
    </row>
    <row r="71" ht="5.25" customHeight="1">
      <c r="A71" s="51"/>
      <c r="B71" s="58" t="s">
        <v>109</v>
      </c>
      <c r="C71" s="112">
        <v>8.0</v>
      </c>
      <c r="D71" s="117"/>
      <c r="E71" s="109"/>
      <c r="F71" s="111">
        <v>41.0</v>
      </c>
      <c r="G71" s="121"/>
      <c r="H71" s="51"/>
      <c r="I71" s="109"/>
      <c r="J71" s="117"/>
      <c r="K71" s="117"/>
      <c r="L71" s="117"/>
      <c r="M71" s="117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3"/>
      <c r="AC71" s="123"/>
    </row>
    <row r="72" ht="5.25" customHeight="1">
      <c r="A72" s="51"/>
      <c r="B72" s="58"/>
      <c r="C72" s="110"/>
      <c r="D72" s="117"/>
      <c r="E72" s="109"/>
      <c r="F72" s="111">
        <v>3.0</v>
      </c>
      <c r="G72" s="125"/>
      <c r="H72" s="117"/>
      <c r="I72" s="109"/>
      <c r="J72" s="117"/>
      <c r="K72" s="117"/>
      <c r="L72" s="117"/>
      <c r="M72" s="117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3"/>
      <c r="AC72" s="123"/>
    </row>
    <row r="73" ht="5.25" customHeight="1">
      <c r="A73" s="51"/>
      <c r="B73" s="58" t="s">
        <v>109</v>
      </c>
      <c r="C73" s="112">
        <v>8.0</v>
      </c>
      <c r="D73" s="117"/>
      <c r="E73" s="109"/>
      <c r="F73" s="111">
        <v>42.0</v>
      </c>
      <c r="G73" s="125"/>
      <c r="H73" s="117"/>
      <c r="I73" s="109"/>
      <c r="J73" s="117"/>
      <c r="K73" s="117"/>
      <c r="L73" s="117"/>
      <c r="M73" s="117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  <c r="AA73" s="51"/>
      <c r="AB73" s="51"/>
      <c r="AC73" s="51"/>
    </row>
    <row r="74" ht="5.25" customHeight="1">
      <c r="A74" s="51"/>
      <c r="B74" s="58"/>
      <c r="C74" s="110"/>
      <c r="D74" s="117"/>
      <c r="E74" s="109"/>
      <c r="F74" s="111">
        <v>3.0</v>
      </c>
      <c r="G74" s="125"/>
      <c r="H74" s="117"/>
      <c r="I74" s="109"/>
      <c r="J74" s="117"/>
      <c r="K74" s="117"/>
      <c r="L74" s="117"/>
      <c r="M74" s="117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 ht="5.25" customHeight="1">
      <c r="A75" s="51"/>
      <c r="B75" s="58" t="s">
        <v>109</v>
      </c>
      <c r="C75" s="112">
        <v>8.0</v>
      </c>
      <c r="D75" s="117"/>
      <c r="E75" s="109"/>
      <c r="F75" s="111">
        <v>43.0</v>
      </c>
      <c r="G75" s="125"/>
      <c r="H75" s="117"/>
      <c r="I75" s="109"/>
      <c r="J75" s="117"/>
      <c r="K75" s="117"/>
      <c r="L75" s="117"/>
      <c r="M75" s="117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 ht="5.25" customHeight="1">
      <c r="A76" s="51"/>
      <c r="B76" s="58"/>
      <c r="C76" s="110"/>
      <c r="D76" s="117"/>
      <c r="E76" s="109"/>
      <c r="F76" s="111">
        <v>3.0</v>
      </c>
      <c r="G76" s="125"/>
      <c r="H76" s="117"/>
      <c r="I76" s="109"/>
      <c r="J76" s="117"/>
      <c r="K76" s="117"/>
      <c r="L76" s="117"/>
      <c r="M76" s="117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 ht="5.25" customHeight="1">
      <c r="A77" s="51"/>
      <c r="B77" s="58" t="s">
        <v>109</v>
      </c>
      <c r="C77" s="112">
        <v>8.0</v>
      </c>
      <c r="D77" s="117"/>
      <c r="E77" s="109"/>
      <c r="F77" s="111">
        <v>44.0</v>
      </c>
      <c r="G77" s="125"/>
      <c r="H77" s="117"/>
      <c r="I77" s="109"/>
      <c r="J77" s="117"/>
      <c r="K77" s="117"/>
      <c r="L77" s="117"/>
      <c r="M77" s="117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</row>
    <row r="78" ht="5.25" customHeight="1">
      <c r="A78" s="51"/>
      <c r="B78" s="58"/>
      <c r="C78" s="110"/>
      <c r="D78" s="117"/>
      <c r="E78" s="109"/>
      <c r="F78" s="111">
        <v>3.0</v>
      </c>
      <c r="G78" s="125"/>
      <c r="H78" s="117"/>
      <c r="I78" s="109"/>
      <c r="J78" s="117"/>
      <c r="K78" s="117"/>
      <c r="L78" s="117"/>
      <c r="M78" s="117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79" ht="5.25" customHeight="1">
      <c r="A79" s="51"/>
      <c r="B79" s="58" t="s">
        <v>109</v>
      </c>
      <c r="C79" s="112">
        <v>8.0</v>
      </c>
      <c r="D79" s="117"/>
      <c r="E79" s="109"/>
      <c r="F79" s="111">
        <v>45.0</v>
      </c>
      <c r="G79" s="125"/>
      <c r="H79" s="117"/>
      <c r="I79" s="109"/>
      <c r="J79" s="117"/>
      <c r="K79" s="117"/>
      <c r="L79" s="117"/>
      <c r="M79" s="117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  <c r="AA79" s="51"/>
      <c r="AB79" s="51"/>
      <c r="AC79" s="51"/>
    </row>
    <row r="80" ht="5.25" customHeight="1">
      <c r="A80" s="51"/>
      <c r="B80" s="58"/>
      <c r="C80" s="110"/>
      <c r="D80" s="117"/>
      <c r="E80" s="109"/>
      <c r="F80" s="111">
        <v>3.0</v>
      </c>
      <c r="G80" s="125"/>
      <c r="H80" s="117"/>
      <c r="I80" s="109"/>
      <c r="J80" s="117"/>
      <c r="K80" s="117"/>
      <c r="L80" s="117"/>
      <c r="M80" s="117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 ht="5.25" customHeight="1">
      <c r="A81" s="51"/>
      <c r="B81" s="58" t="s">
        <v>109</v>
      </c>
      <c r="C81" s="112">
        <v>8.0</v>
      </c>
      <c r="D81" s="117"/>
      <c r="E81" s="109"/>
      <c r="F81" s="111">
        <v>46.0</v>
      </c>
      <c r="G81" s="125"/>
      <c r="H81" s="117"/>
      <c r="I81" s="109"/>
      <c r="J81" s="117"/>
      <c r="K81" s="117"/>
      <c r="L81" s="117"/>
      <c r="M81" s="117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 ht="5.25" customHeight="1">
      <c r="A82" s="51"/>
      <c r="B82" s="58"/>
      <c r="C82" s="110"/>
      <c r="D82" s="51"/>
      <c r="E82" s="51"/>
      <c r="F82" s="111">
        <v>3.0</v>
      </c>
      <c r="G82" s="12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 ht="5.25" customHeight="1">
      <c r="A83" s="51"/>
      <c r="B83" s="58" t="s">
        <v>109</v>
      </c>
      <c r="C83" s="112">
        <v>8.0</v>
      </c>
      <c r="D83" s="51"/>
      <c r="E83" s="51"/>
      <c r="F83" s="111">
        <v>47.0</v>
      </c>
      <c r="G83" s="12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 ht="5.25" customHeight="1">
      <c r="A84" s="51"/>
      <c r="B84" s="58"/>
      <c r="C84" s="110"/>
      <c r="D84" s="51"/>
      <c r="E84" s="51"/>
      <c r="F84" s="111">
        <v>3.0</v>
      </c>
      <c r="G84" s="12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 ht="5.25" customHeight="1">
      <c r="A85" s="51"/>
      <c r="B85" s="58" t="s">
        <v>109</v>
      </c>
      <c r="C85" s="112">
        <v>8.0</v>
      </c>
      <c r="D85" s="51"/>
      <c r="E85" s="51"/>
      <c r="F85" s="111">
        <v>48.0</v>
      </c>
      <c r="G85" s="12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 ht="5.25" customHeight="1">
      <c r="A86" s="120"/>
      <c r="B86" s="58"/>
      <c r="C86" s="110"/>
      <c r="D86" s="51"/>
      <c r="E86" s="51"/>
      <c r="F86" s="53">
        <v>3.0</v>
      </c>
      <c r="G86" s="12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120" t="s">
        <v>110</v>
      </c>
      <c r="B87" s="58" t="s">
        <v>111</v>
      </c>
      <c r="C87" s="110"/>
      <c r="D87" s="53">
        <v>2.5</v>
      </c>
      <c r="E87" s="53">
        <v>2.5</v>
      </c>
      <c r="F87" s="53">
        <v>2.5</v>
      </c>
      <c r="G87" s="53">
        <v>2.5</v>
      </c>
      <c r="H87" s="53">
        <v>2.5</v>
      </c>
      <c r="I87" s="53">
        <v>3.0</v>
      </c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120"/>
      <c r="B88" s="58"/>
      <c r="C88" s="110"/>
      <c r="D88" s="53">
        <v>8.0</v>
      </c>
      <c r="E88" s="53">
        <v>9.0</v>
      </c>
      <c r="F88" s="53">
        <v>10.0</v>
      </c>
      <c r="G88" s="53">
        <v>12.0</v>
      </c>
      <c r="H88" s="53">
        <v>15.0</v>
      </c>
      <c r="I88" s="53">
        <v>12.0</v>
      </c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120"/>
      <c r="B89" s="58" t="s">
        <v>111</v>
      </c>
      <c r="C89" s="110"/>
      <c r="D89" s="53">
        <v>2.5</v>
      </c>
      <c r="E89" s="53">
        <v>2.5</v>
      </c>
      <c r="F89" s="53">
        <v>2.5</v>
      </c>
      <c r="G89" s="53">
        <v>2.5</v>
      </c>
      <c r="H89" s="53">
        <v>2.5</v>
      </c>
      <c r="I89" s="53">
        <v>3.0</v>
      </c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120"/>
      <c r="B90" s="58"/>
      <c r="C90" s="110"/>
      <c r="D90" s="53">
        <v>8.0</v>
      </c>
      <c r="E90" s="53">
        <v>9.0</v>
      </c>
      <c r="F90" s="53">
        <v>10.0</v>
      </c>
      <c r="G90" s="53">
        <v>12.0</v>
      </c>
      <c r="H90" s="53">
        <v>15.0</v>
      </c>
      <c r="I90" s="53">
        <v>12.0</v>
      </c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8" t="s">
        <v>111</v>
      </c>
      <c r="C91" s="110"/>
      <c r="D91" s="53">
        <v>2.5</v>
      </c>
      <c r="E91" s="53">
        <v>2.5</v>
      </c>
      <c r="F91" s="53">
        <v>2.5</v>
      </c>
      <c r="G91" s="53">
        <v>2.5</v>
      </c>
      <c r="H91" s="53">
        <v>2.5</v>
      </c>
      <c r="I91" s="53">
        <v>3.0</v>
      </c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8"/>
      <c r="C92" s="110"/>
      <c r="D92" s="53">
        <v>8.0</v>
      </c>
      <c r="E92" s="53">
        <v>9.0</v>
      </c>
      <c r="F92" s="53">
        <v>10.0</v>
      </c>
      <c r="G92" s="53">
        <v>12.0</v>
      </c>
      <c r="H92" s="53">
        <v>15.0</v>
      </c>
      <c r="I92" s="53">
        <v>12.0</v>
      </c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3" t="s">
        <v>112</v>
      </c>
      <c r="B93" s="58" t="s">
        <v>113</v>
      </c>
      <c r="C93" s="112">
        <v>6.2</v>
      </c>
      <c r="D93" s="53">
        <v>10.0</v>
      </c>
      <c r="E93" s="53">
        <v>18.0</v>
      </c>
      <c r="F93" s="53">
        <v>18.0</v>
      </c>
      <c r="G93" s="12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8"/>
      <c r="C94" s="110"/>
      <c r="D94" s="53">
        <v>8.0</v>
      </c>
      <c r="E94" s="53">
        <v>8.0</v>
      </c>
      <c r="F94" s="53">
        <v>9.0</v>
      </c>
      <c r="G94" s="12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8" t="s">
        <v>113</v>
      </c>
      <c r="C95" s="112">
        <v>6.2</v>
      </c>
      <c r="D95" s="53">
        <v>10.0</v>
      </c>
      <c r="E95" s="53">
        <v>18.0</v>
      </c>
      <c r="F95" s="53">
        <v>18.0</v>
      </c>
      <c r="G95" s="12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8"/>
      <c r="C96" s="110"/>
      <c r="D96" s="53">
        <v>8.0</v>
      </c>
      <c r="E96" s="53">
        <v>8.0</v>
      </c>
      <c r="F96" s="53">
        <v>9.0</v>
      </c>
      <c r="G96" s="12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8" t="s">
        <v>113</v>
      </c>
      <c r="C97" s="112">
        <v>6.2</v>
      </c>
      <c r="D97" s="53">
        <v>10.0</v>
      </c>
      <c r="E97" s="53">
        <v>18.0</v>
      </c>
      <c r="F97" s="53">
        <v>18.0</v>
      </c>
      <c r="G97" s="12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8"/>
      <c r="C98" s="110"/>
      <c r="D98" s="53">
        <v>8.0</v>
      </c>
      <c r="E98" s="53">
        <v>8.0</v>
      </c>
      <c r="F98" s="53">
        <v>9.0</v>
      </c>
      <c r="G98" s="12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8" t="s">
        <v>113</v>
      </c>
      <c r="C99" s="112">
        <v>6.2</v>
      </c>
      <c r="D99" s="53">
        <v>10.0</v>
      </c>
      <c r="E99" s="53">
        <v>18.0</v>
      </c>
      <c r="F99" s="53">
        <v>18.0</v>
      </c>
      <c r="G99" s="12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8"/>
      <c r="C100" s="110"/>
      <c r="D100" s="53">
        <v>8.0</v>
      </c>
      <c r="E100" s="53">
        <v>8.0</v>
      </c>
      <c r="F100" s="53">
        <v>9.0</v>
      </c>
      <c r="G100" s="12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3" t="s">
        <v>114</v>
      </c>
      <c r="B101" s="58" t="s">
        <v>115</v>
      </c>
      <c r="C101" s="112">
        <v>4.6</v>
      </c>
      <c r="D101" s="51"/>
      <c r="E101" s="51"/>
      <c r="F101" s="53">
        <v>15.0</v>
      </c>
      <c r="G101" s="12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8"/>
      <c r="C102" s="110"/>
      <c r="D102" s="51"/>
      <c r="E102" s="51"/>
      <c r="F102" s="53">
        <v>15.0</v>
      </c>
      <c r="G102" s="12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8" t="s">
        <v>115</v>
      </c>
      <c r="C103" s="112">
        <v>4.6</v>
      </c>
      <c r="D103" s="51"/>
      <c r="E103" s="51"/>
      <c r="F103" s="53">
        <v>15.0</v>
      </c>
      <c r="G103" s="12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8"/>
      <c r="C104" s="110"/>
      <c r="D104" s="51"/>
      <c r="E104" s="51"/>
      <c r="F104" s="53">
        <v>15.0</v>
      </c>
      <c r="G104" s="12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8" t="s">
        <v>115</v>
      </c>
      <c r="C105" s="112">
        <v>4.6</v>
      </c>
      <c r="D105" s="51"/>
      <c r="E105" s="51"/>
      <c r="F105" s="53">
        <v>15.0</v>
      </c>
      <c r="G105" s="12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8"/>
      <c r="C106" s="110"/>
      <c r="D106" s="51"/>
      <c r="E106" s="51"/>
      <c r="F106" s="53">
        <v>15.0</v>
      </c>
      <c r="G106" s="12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3" t="s">
        <v>116</v>
      </c>
      <c r="B107" s="58" t="s">
        <v>59</v>
      </c>
      <c r="G107" s="3">
        <v>10.0</v>
      </c>
      <c r="H107" s="3">
        <v>10.0</v>
      </c>
      <c r="I107" s="3">
        <v>10.0</v>
      </c>
      <c r="J107" s="3">
        <v>10.0</v>
      </c>
    </row>
    <row r="108">
      <c r="B108" s="58"/>
      <c r="G108" s="3">
        <v>30.0</v>
      </c>
      <c r="H108" s="3">
        <v>20.0</v>
      </c>
      <c r="I108" s="3">
        <v>20.0</v>
      </c>
      <c r="J108" s="3">
        <v>25.0</v>
      </c>
    </row>
    <row r="109">
      <c r="A109" s="51"/>
      <c r="B109" s="58" t="s">
        <v>59</v>
      </c>
      <c r="C109" s="51"/>
      <c r="D109" s="51"/>
      <c r="E109" s="51"/>
      <c r="F109" s="51"/>
      <c r="G109" s="53">
        <v>10.0</v>
      </c>
      <c r="H109" s="53">
        <v>10.0</v>
      </c>
      <c r="I109" s="53">
        <v>10.0</v>
      </c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8"/>
      <c r="C110" s="51"/>
      <c r="D110" s="51"/>
      <c r="E110" s="51"/>
      <c r="F110" s="51"/>
      <c r="G110" s="53">
        <v>20.0</v>
      </c>
      <c r="H110" s="53">
        <v>20.0</v>
      </c>
      <c r="I110" s="53">
        <v>20.0</v>
      </c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8" t="s">
        <v>59</v>
      </c>
      <c r="C111" s="51"/>
      <c r="D111" s="51"/>
      <c r="E111" s="51"/>
      <c r="F111" s="51"/>
      <c r="G111" s="53">
        <v>10.0</v>
      </c>
      <c r="H111" s="53">
        <v>10.0</v>
      </c>
      <c r="I111" s="53">
        <v>10.0</v>
      </c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8"/>
      <c r="C112" s="51"/>
      <c r="D112" s="51"/>
      <c r="E112" s="51"/>
      <c r="F112" s="51"/>
      <c r="G112" s="53">
        <v>15.0</v>
      </c>
      <c r="H112" s="53">
        <v>20.0</v>
      </c>
      <c r="I112" s="53">
        <v>30.0</v>
      </c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6" t="s">
        <v>117</v>
      </c>
      <c r="B113" s="58" t="s">
        <v>118</v>
      </c>
      <c r="C113" s="51"/>
      <c r="D113" s="51"/>
      <c r="E113" s="51"/>
      <c r="F113" s="51"/>
      <c r="G113" s="53">
        <v>12.0</v>
      </c>
      <c r="H113" s="53">
        <v>14.0</v>
      </c>
      <c r="I113" s="53">
        <v>16.0</v>
      </c>
      <c r="J113" s="53">
        <v>16.0</v>
      </c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8"/>
      <c r="C114" s="51"/>
      <c r="D114" s="51"/>
      <c r="E114" s="51"/>
      <c r="F114" s="51"/>
      <c r="G114" s="53">
        <v>30.0</v>
      </c>
      <c r="H114" s="53">
        <v>25.0</v>
      </c>
      <c r="I114" s="53">
        <v>20.0</v>
      </c>
      <c r="J114" s="53">
        <v>16.0</v>
      </c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8" t="s">
        <v>118</v>
      </c>
      <c r="C115" s="51"/>
      <c r="D115" s="51"/>
      <c r="E115" s="51"/>
      <c r="F115" s="51"/>
      <c r="G115" s="53">
        <v>12.0</v>
      </c>
      <c r="H115" s="53">
        <v>14.0</v>
      </c>
      <c r="I115" s="53">
        <v>16.0</v>
      </c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8"/>
      <c r="C116" s="51"/>
      <c r="D116" s="51"/>
      <c r="E116" s="51"/>
      <c r="F116" s="51"/>
      <c r="G116" s="53">
        <v>30.0</v>
      </c>
      <c r="H116" s="53">
        <v>25.0</v>
      </c>
      <c r="I116" s="53">
        <v>15.0</v>
      </c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8" t="s">
        <v>118</v>
      </c>
      <c r="C117" s="51"/>
      <c r="D117" s="51"/>
      <c r="E117" s="51"/>
      <c r="F117" s="51"/>
      <c r="G117" s="53">
        <v>12.0</v>
      </c>
      <c r="H117" s="53">
        <v>14.0</v>
      </c>
      <c r="I117" s="53">
        <v>16.0</v>
      </c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8"/>
      <c r="C118" s="51"/>
      <c r="D118" s="51"/>
      <c r="E118" s="51"/>
      <c r="F118" s="51"/>
      <c r="G118" s="53">
        <v>30.0</v>
      </c>
      <c r="H118" s="53">
        <v>25.0</v>
      </c>
      <c r="I118" s="53">
        <v>15.0</v>
      </c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126" t="s">
        <v>74</v>
      </c>
      <c r="B119" s="126" t="s">
        <v>62</v>
      </c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>
      <c r="A120" s="51"/>
      <c r="B120" s="51"/>
      <c r="C120" s="51"/>
      <c r="D120" s="51"/>
      <c r="E120" s="51"/>
      <c r="F120" s="51"/>
      <c r="G120" s="58" t="s">
        <v>22</v>
      </c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</row>
    <row r="1001">
      <c r="A1001" s="51"/>
      <c r="B1001" s="51"/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M1001" s="51"/>
      <c r="N1001" s="51"/>
      <c r="O1001" s="51"/>
      <c r="P1001" s="51"/>
      <c r="Q1001" s="51"/>
      <c r="R1001" s="51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</row>
    <row r="1002">
      <c r="A1002" s="51"/>
      <c r="B1002" s="51"/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3" t="s">
        <v>119</v>
      </c>
      <c r="C1" s="48"/>
      <c r="D1" s="48">
        <v>45814.0</v>
      </c>
      <c r="E1" s="48">
        <v>45815.0</v>
      </c>
      <c r="F1" s="48">
        <v>45819.0</v>
      </c>
      <c r="G1" s="48">
        <v>45822.0</v>
      </c>
      <c r="H1" s="84">
        <v>45826.0</v>
      </c>
      <c r="I1" s="106">
        <v>45829.0</v>
      </c>
      <c r="J1" s="84">
        <v>45836.0</v>
      </c>
      <c r="K1" s="106">
        <v>45843.0</v>
      </c>
      <c r="L1" s="84">
        <v>45850.0</v>
      </c>
      <c r="M1" s="84">
        <v>45916.0</v>
      </c>
      <c r="N1" s="106">
        <v>45918.0</v>
      </c>
      <c r="O1" s="84">
        <v>45936.0</v>
      </c>
      <c r="P1" s="84">
        <v>45956.0</v>
      </c>
      <c r="Q1" s="84">
        <v>45958.0</v>
      </c>
      <c r="R1" s="84">
        <v>45962.0</v>
      </c>
      <c r="S1" s="75" t="s">
        <v>62</v>
      </c>
    </row>
    <row r="2">
      <c r="C2" s="3"/>
      <c r="D2" s="3">
        <v>66.9</v>
      </c>
      <c r="E2" s="3">
        <v>67.8</v>
      </c>
      <c r="F2" s="3">
        <v>66.4</v>
      </c>
      <c r="G2" s="3">
        <v>67.0</v>
      </c>
      <c r="H2" s="3">
        <v>66.1</v>
      </c>
      <c r="I2" s="3">
        <v>66.3</v>
      </c>
      <c r="J2" s="3">
        <v>66.5</v>
      </c>
      <c r="K2" s="3">
        <v>66.1</v>
      </c>
      <c r="L2" s="3">
        <v>66.4</v>
      </c>
      <c r="M2" s="3">
        <v>66.9</v>
      </c>
      <c r="N2" s="3">
        <v>66.3</v>
      </c>
      <c r="O2" s="3">
        <v>66.5</v>
      </c>
      <c r="P2" s="3">
        <v>68.7</v>
      </c>
      <c r="Q2" s="3">
        <v>68.6</v>
      </c>
      <c r="R2" s="3">
        <v>68.6</v>
      </c>
    </row>
    <row r="3">
      <c r="B3" s="3" t="s">
        <v>83</v>
      </c>
      <c r="C3" s="3">
        <v>8.0</v>
      </c>
      <c r="D3" s="3"/>
      <c r="F3" s="3"/>
      <c r="H3" s="3"/>
      <c r="M3" s="3"/>
      <c r="R3" s="3">
        <v>20.0</v>
      </c>
    </row>
    <row r="4">
      <c r="B4" s="3"/>
      <c r="C4" s="3"/>
      <c r="D4" s="3"/>
      <c r="F4" s="3"/>
      <c r="H4" s="3"/>
      <c r="M4" s="3"/>
      <c r="R4" s="3">
        <v>6.0</v>
      </c>
    </row>
    <row r="5">
      <c r="B5" s="3" t="s">
        <v>83</v>
      </c>
      <c r="C5" s="3">
        <v>8.0</v>
      </c>
      <c r="D5" s="3"/>
      <c r="F5" s="3"/>
      <c r="H5" s="3"/>
      <c r="M5" s="3"/>
      <c r="R5" s="3">
        <v>24.0</v>
      </c>
    </row>
    <row r="6">
      <c r="B6" s="3"/>
      <c r="C6" s="3"/>
      <c r="D6" s="3"/>
      <c r="F6" s="3"/>
      <c r="H6" s="3"/>
      <c r="M6" s="3"/>
      <c r="R6" s="3">
        <v>6.0</v>
      </c>
    </row>
    <row r="7">
      <c r="B7" s="3" t="s">
        <v>83</v>
      </c>
      <c r="C7" s="3">
        <v>8.0</v>
      </c>
      <c r="D7" s="3"/>
      <c r="F7" s="3"/>
      <c r="H7" s="3"/>
      <c r="M7" s="3"/>
      <c r="R7" s="3">
        <v>25.0</v>
      </c>
    </row>
    <row r="8">
      <c r="B8" s="3"/>
      <c r="C8" s="3"/>
      <c r="D8" s="3"/>
      <c r="F8" s="3"/>
      <c r="H8" s="3"/>
      <c r="M8" s="3"/>
      <c r="R8" s="3">
        <v>6.0</v>
      </c>
    </row>
    <row r="9">
      <c r="B9" s="3" t="s">
        <v>65</v>
      </c>
      <c r="C9" s="3">
        <v>8.0</v>
      </c>
      <c r="D9" s="3">
        <v>56.0</v>
      </c>
      <c r="F9" s="3">
        <v>58.0</v>
      </c>
      <c r="H9" s="3">
        <v>60.0</v>
      </c>
      <c r="M9" s="3">
        <v>50.0</v>
      </c>
    </row>
    <row r="10">
      <c r="C10" s="3"/>
      <c r="D10" s="3">
        <v>3.0</v>
      </c>
      <c r="F10" s="3">
        <v>3.0</v>
      </c>
      <c r="H10" s="3">
        <v>3.0</v>
      </c>
      <c r="M10" s="3">
        <v>3.0</v>
      </c>
    </row>
    <row r="11">
      <c r="B11" s="3" t="s">
        <v>65</v>
      </c>
      <c r="C11" s="3">
        <v>8.0</v>
      </c>
      <c r="D11" s="3">
        <v>66.0</v>
      </c>
      <c r="F11" s="3">
        <v>68.0</v>
      </c>
      <c r="H11" s="3">
        <v>70.0</v>
      </c>
      <c r="M11" s="3">
        <v>60.0</v>
      </c>
    </row>
    <row r="12">
      <c r="C12" s="3"/>
      <c r="D12" s="3">
        <v>2.0</v>
      </c>
      <c r="F12" s="3">
        <v>2.0</v>
      </c>
      <c r="H12" s="3">
        <v>3.0</v>
      </c>
      <c r="M12" s="3">
        <v>3.0</v>
      </c>
    </row>
    <row r="13">
      <c r="B13" s="3" t="s">
        <v>65</v>
      </c>
      <c r="C13" s="3">
        <v>8.0</v>
      </c>
      <c r="D13" s="3">
        <v>76.0</v>
      </c>
      <c r="F13" s="3">
        <v>78.0</v>
      </c>
      <c r="H13" s="3">
        <v>82.0</v>
      </c>
      <c r="M13" s="3">
        <v>70.0</v>
      </c>
    </row>
    <row r="14">
      <c r="C14" s="3"/>
      <c r="D14" s="3">
        <v>1.0</v>
      </c>
      <c r="F14" s="3">
        <v>1.0</v>
      </c>
      <c r="H14" s="3">
        <v>1.0</v>
      </c>
      <c r="M14" s="3">
        <v>1.0</v>
      </c>
    </row>
    <row r="15">
      <c r="B15" s="3" t="s">
        <v>65</v>
      </c>
      <c r="C15" s="3">
        <v>8.0</v>
      </c>
      <c r="D15" s="3"/>
      <c r="F15" s="3"/>
      <c r="H15" s="3">
        <v>83.0</v>
      </c>
      <c r="M15" s="3">
        <v>80.0</v>
      </c>
    </row>
    <row r="16">
      <c r="B16" s="3"/>
      <c r="C16" s="3"/>
      <c r="D16" s="3"/>
      <c r="F16" s="3"/>
      <c r="H16" s="3">
        <v>1.0</v>
      </c>
      <c r="M16" s="3">
        <v>1.0</v>
      </c>
    </row>
    <row r="17">
      <c r="B17" s="3" t="s">
        <v>65</v>
      </c>
      <c r="C17" s="3">
        <v>8.0</v>
      </c>
      <c r="D17" s="3"/>
      <c r="F17" s="3"/>
      <c r="H17" s="3"/>
      <c r="M17" s="3">
        <v>90.0</v>
      </c>
    </row>
    <row r="18">
      <c r="B18" s="3"/>
      <c r="C18" s="3"/>
      <c r="D18" s="3"/>
      <c r="F18" s="3"/>
      <c r="H18" s="3"/>
      <c r="M18" s="3">
        <v>1.0</v>
      </c>
    </row>
    <row r="19">
      <c r="B19" s="3" t="s">
        <v>65</v>
      </c>
      <c r="C19" s="3">
        <v>8.0</v>
      </c>
      <c r="D19" s="3"/>
      <c r="F19" s="3"/>
      <c r="H19" s="3"/>
      <c r="M19" s="128">
        <v>96.0</v>
      </c>
    </row>
    <row r="20">
      <c r="B20" s="3"/>
      <c r="C20" s="3"/>
      <c r="D20" s="3"/>
      <c r="F20" s="3"/>
      <c r="H20" s="3"/>
      <c r="M20" s="128">
        <v>1.0</v>
      </c>
    </row>
    <row r="21">
      <c r="B21" s="3" t="s">
        <v>68</v>
      </c>
      <c r="C21" s="3">
        <v>8.0</v>
      </c>
      <c r="D21" s="3">
        <v>40.0</v>
      </c>
      <c r="F21" s="3">
        <v>40.0</v>
      </c>
      <c r="R21" s="3">
        <v>40.0</v>
      </c>
    </row>
    <row r="22">
      <c r="C22" s="3"/>
      <c r="D22" s="3">
        <v>12.0</v>
      </c>
      <c r="F22" s="3">
        <v>12.0</v>
      </c>
      <c r="R22" s="3">
        <v>3.0</v>
      </c>
    </row>
    <row r="23">
      <c r="B23" s="3" t="s">
        <v>68</v>
      </c>
      <c r="C23" s="3">
        <v>8.0</v>
      </c>
      <c r="D23" s="3">
        <v>50.0</v>
      </c>
      <c r="F23" s="3">
        <v>50.0</v>
      </c>
      <c r="R23" s="3">
        <v>50.0</v>
      </c>
    </row>
    <row r="24">
      <c r="D24" s="3">
        <v>8.0</v>
      </c>
      <c r="F24" s="3">
        <v>10.0</v>
      </c>
      <c r="R24" s="3">
        <v>3.0</v>
      </c>
    </row>
    <row r="25">
      <c r="B25" s="3" t="s">
        <v>68</v>
      </c>
      <c r="C25" s="3">
        <v>8.0</v>
      </c>
      <c r="D25" s="3">
        <v>54.0</v>
      </c>
      <c r="F25" s="3">
        <v>54.0</v>
      </c>
      <c r="R25" s="3">
        <v>60.0</v>
      </c>
    </row>
    <row r="26">
      <c r="D26" s="3">
        <v>5.0</v>
      </c>
      <c r="F26" s="3">
        <v>8.0</v>
      </c>
      <c r="R26" s="3">
        <v>3.0</v>
      </c>
    </row>
    <row r="27">
      <c r="B27" s="3" t="s">
        <v>68</v>
      </c>
      <c r="C27" s="3">
        <v>8.0</v>
      </c>
      <c r="D27" s="3">
        <v>58.0</v>
      </c>
      <c r="F27" s="3">
        <v>58.0</v>
      </c>
      <c r="R27" s="3">
        <v>70.0</v>
      </c>
    </row>
    <row r="28">
      <c r="D28" s="3">
        <v>3.0</v>
      </c>
      <c r="F28" s="3">
        <v>5.0</v>
      </c>
      <c r="R28" s="3">
        <v>3.0</v>
      </c>
    </row>
    <row r="29">
      <c r="B29" s="3" t="s">
        <v>68</v>
      </c>
      <c r="C29" s="3">
        <v>8.0</v>
      </c>
      <c r="D29" s="3">
        <v>60.0</v>
      </c>
      <c r="F29" s="3">
        <v>64.0</v>
      </c>
    </row>
    <row r="30">
      <c r="D30" s="3">
        <v>3.0</v>
      </c>
      <c r="F30" s="3">
        <v>3.0</v>
      </c>
    </row>
    <row r="31">
      <c r="B31" s="3" t="s">
        <v>68</v>
      </c>
      <c r="C31" s="3">
        <v>8.0</v>
      </c>
      <c r="D31" s="3">
        <v>62.0</v>
      </c>
      <c r="F31" s="3">
        <v>66.0</v>
      </c>
    </row>
    <row r="32">
      <c r="D32" s="3">
        <v>3.0</v>
      </c>
      <c r="F32" s="3">
        <v>3.0</v>
      </c>
    </row>
    <row r="33">
      <c r="B33" s="3" t="s">
        <v>65</v>
      </c>
      <c r="C33" s="3">
        <v>8.0</v>
      </c>
      <c r="D33" s="3"/>
      <c r="G33" s="49"/>
      <c r="L33" s="3"/>
      <c r="R33" s="3">
        <v>60.0</v>
      </c>
    </row>
    <row r="34">
      <c r="B34" s="3"/>
      <c r="D34" s="3"/>
      <c r="G34" s="49"/>
      <c r="L34" s="3"/>
      <c r="R34" s="3">
        <v>1.0</v>
      </c>
    </row>
    <row r="35">
      <c r="B35" s="3" t="s">
        <v>65</v>
      </c>
      <c r="C35" s="3">
        <v>8.0</v>
      </c>
      <c r="D35" s="3"/>
      <c r="G35" s="49"/>
      <c r="L35" s="3"/>
      <c r="R35" s="3">
        <v>64.0</v>
      </c>
    </row>
    <row r="36">
      <c r="B36" s="3"/>
      <c r="D36" s="3"/>
      <c r="G36" s="49"/>
      <c r="L36" s="3"/>
      <c r="R36" s="3">
        <v>1.0</v>
      </c>
    </row>
    <row r="37">
      <c r="B37" s="3" t="s">
        <v>65</v>
      </c>
      <c r="C37" s="3">
        <v>8.0</v>
      </c>
      <c r="D37" s="3"/>
      <c r="G37" s="49"/>
      <c r="L37" s="3"/>
      <c r="R37" s="3">
        <v>68.0</v>
      </c>
    </row>
    <row r="38">
      <c r="B38" s="3"/>
      <c r="D38" s="3"/>
      <c r="G38" s="49"/>
      <c r="L38" s="3"/>
      <c r="R38" s="3">
        <v>1.0</v>
      </c>
    </row>
    <row r="39">
      <c r="B39" s="3" t="s">
        <v>120</v>
      </c>
      <c r="D39" s="3">
        <v>5.0</v>
      </c>
      <c r="G39" s="49">
        <v>5.0</v>
      </c>
      <c r="L39" s="3">
        <v>5.0</v>
      </c>
    </row>
    <row r="40">
      <c r="D40" s="3">
        <v>10.0</v>
      </c>
      <c r="G40" s="49">
        <v>11.0</v>
      </c>
      <c r="L40" s="3">
        <v>12.0</v>
      </c>
    </row>
    <row r="41">
      <c r="B41" s="3" t="s">
        <v>120</v>
      </c>
      <c r="D41" s="3">
        <v>5.0</v>
      </c>
      <c r="G41" s="49">
        <v>5.0</v>
      </c>
      <c r="L41" s="3">
        <v>5.0</v>
      </c>
    </row>
    <row r="42">
      <c r="D42" s="3">
        <v>10.0</v>
      </c>
      <c r="G42" s="49">
        <v>11.0</v>
      </c>
      <c r="L42" s="3">
        <v>12.0</v>
      </c>
    </row>
    <row r="43">
      <c r="B43" s="3" t="s">
        <v>120</v>
      </c>
      <c r="D43" s="3">
        <v>5.0</v>
      </c>
      <c r="G43" s="49">
        <v>5.0</v>
      </c>
      <c r="L43" s="3">
        <v>5.0</v>
      </c>
    </row>
    <row r="44">
      <c r="D44" s="3">
        <v>10.0</v>
      </c>
      <c r="G44" s="49">
        <v>11.0</v>
      </c>
      <c r="L44" s="3">
        <v>12.0</v>
      </c>
    </row>
    <row r="45">
      <c r="B45" s="3" t="s">
        <v>121</v>
      </c>
      <c r="D45" s="3">
        <v>7.5</v>
      </c>
    </row>
    <row r="46">
      <c r="D46" s="3">
        <v>10.0</v>
      </c>
      <c r="U46" s="15" t="s">
        <v>26</v>
      </c>
      <c r="V46" s="60">
        <v>85.0</v>
      </c>
    </row>
    <row r="47">
      <c r="B47" s="3" t="s">
        <v>121</v>
      </c>
      <c r="D47" s="3">
        <v>7.5</v>
      </c>
      <c r="U47" s="15" t="s">
        <v>37</v>
      </c>
      <c r="V47" s="60">
        <v>3.0</v>
      </c>
    </row>
    <row r="48">
      <c r="D48" s="3">
        <v>10.0</v>
      </c>
      <c r="U48" s="15" t="s">
        <v>36</v>
      </c>
      <c r="V48" s="43">
        <f>ROUND(IF(V47&lt;10,AVERAGE(V46/(1.0278-0.0278*V47),V46*V47^0.1),AVERAGE(V46*(1+0.0333*V47),V46*V47^0.1)),1)</f>
        <v>92.4</v>
      </c>
    </row>
    <row r="49">
      <c r="B49" s="3" t="s">
        <v>121</v>
      </c>
      <c r="D49" s="3">
        <v>7.5</v>
      </c>
    </row>
    <row r="50">
      <c r="D50" s="3">
        <v>10.0</v>
      </c>
    </row>
    <row r="51">
      <c r="A51" s="3"/>
      <c r="B51" s="3" t="s">
        <v>70</v>
      </c>
      <c r="C51" s="3">
        <v>8.0</v>
      </c>
      <c r="E51" s="3"/>
      <c r="O51" s="3">
        <v>34.0</v>
      </c>
    </row>
    <row r="52">
      <c r="A52" s="3"/>
      <c r="B52" s="3"/>
      <c r="C52" s="3"/>
      <c r="E52" s="3"/>
      <c r="O52" s="3">
        <v>6.0</v>
      </c>
    </row>
    <row r="53">
      <c r="A53" s="3"/>
      <c r="B53" s="3" t="s">
        <v>70</v>
      </c>
      <c r="C53" s="3">
        <v>8.0</v>
      </c>
      <c r="E53" s="3"/>
      <c r="O53" s="3">
        <v>34.0</v>
      </c>
    </row>
    <row r="54">
      <c r="A54" s="3"/>
      <c r="B54" s="3"/>
      <c r="C54" s="3"/>
      <c r="E54" s="3"/>
      <c r="O54" s="3">
        <v>6.0</v>
      </c>
    </row>
    <row r="55">
      <c r="A55" s="3"/>
      <c r="B55" s="3" t="s">
        <v>70</v>
      </c>
      <c r="C55" s="3">
        <v>8.0</v>
      </c>
      <c r="E55" s="3"/>
      <c r="O55" s="3">
        <v>34.0</v>
      </c>
    </row>
    <row r="56">
      <c r="A56" s="3"/>
      <c r="B56" s="3"/>
      <c r="C56" s="3"/>
      <c r="E56" s="3"/>
      <c r="O56" s="3">
        <v>6.0</v>
      </c>
    </row>
    <row r="57">
      <c r="A57" s="3" t="s">
        <v>56</v>
      </c>
      <c r="B57" s="3" t="s">
        <v>56</v>
      </c>
      <c r="C57" s="3">
        <v>8.0</v>
      </c>
      <c r="E57" s="3">
        <v>20.0</v>
      </c>
    </row>
    <row r="58">
      <c r="A58" s="3" t="s">
        <v>122</v>
      </c>
      <c r="E58" s="3">
        <v>10.0</v>
      </c>
    </row>
    <row r="59">
      <c r="B59" s="3" t="s">
        <v>56</v>
      </c>
      <c r="C59" s="3">
        <v>8.0</v>
      </c>
      <c r="E59" s="3">
        <v>20.0</v>
      </c>
    </row>
    <row r="60">
      <c r="A60" s="3" t="s">
        <v>123</v>
      </c>
      <c r="E60" s="3">
        <v>10.0</v>
      </c>
    </row>
    <row r="61">
      <c r="B61" s="3" t="s">
        <v>71</v>
      </c>
      <c r="C61" s="3">
        <v>8.0</v>
      </c>
      <c r="E61" s="3">
        <v>20.0</v>
      </c>
      <c r="O61" s="3">
        <v>40.0</v>
      </c>
    </row>
    <row r="62">
      <c r="E62" s="3">
        <v>3.0</v>
      </c>
      <c r="O62" s="3">
        <v>2.0</v>
      </c>
    </row>
    <row r="63">
      <c r="B63" s="3" t="s">
        <v>71</v>
      </c>
      <c r="C63" s="3">
        <v>8.0</v>
      </c>
      <c r="E63" s="3">
        <v>20.0</v>
      </c>
      <c r="O63" s="3">
        <v>40.0</v>
      </c>
    </row>
    <row r="64">
      <c r="E64" s="3">
        <v>2.0</v>
      </c>
      <c r="O64" s="3">
        <v>2.0</v>
      </c>
    </row>
    <row r="65">
      <c r="B65" s="3" t="s">
        <v>71</v>
      </c>
      <c r="C65" s="3">
        <v>8.0</v>
      </c>
      <c r="E65" s="3"/>
      <c r="O65" s="3">
        <v>40.0</v>
      </c>
    </row>
    <row r="66">
      <c r="E66" s="3"/>
      <c r="O66" s="3">
        <v>2.0</v>
      </c>
    </row>
    <row r="67">
      <c r="B67" s="3" t="s">
        <v>73</v>
      </c>
      <c r="E67" s="3"/>
      <c r="G67" s="129">
        <v>7.5</v>
      </c>
    </row>
    <row r="68">
      <c r="B68" s="3"/>
      <c r="E68" s="3"/>
      <c r="G68" s="129">
        <v>5.0</v>
      </c>
    </row>
    <row r="69">
      <c r="B69" s="3" t="s">
        <v>73</v>
      </c>
      <c r="E69" s="3"/>
      <c r="G69" s="129">
        <v>7.5</v>
      </c>
    </row>
    <row r="70">
      <c r="B70" s="3"/>
      <c r="E70" s="3"/>
      <c r="G70" s="129">
        <v>5.0</v>
      </c>
    </row>
    <row r="71">
      <c r="B71" s="3" t="s">
        <v>73</v>
      </c>
      <c r="E71" s="3"/>
      <c r="G71" s="129">
        <v>7.5</v>
      </c>
    </row>
    <row r="72">
      <c r="B72" s="3"/>
      <c r="E72" s="3"/>
      <c r="G72" s="129">
        <v>5.0</v>
      </c>
    </row>
    <row r="73">
      <c r="B73" s="3" t="s">
        <v>124</v>
      </c>
      <c r="E73" s="3">
        <v>12.0</v>
      </c>
      <c r="G73" s="129">
        <v>17.5</v>
      </c>
      <c r="H73" s="3">
        <v>22.0</v>
      </c>
    </row>
    <row r="74">
      <c r="E74" s="3">
        <v>20.0</v>
      </c>
      <c r="G74" s="129">
        <v>20.0</v>
      </c>
      <c r="H74" s="3">
        <v>15.0</v>
      </c>
    </row>
    <row r="75">
      <c r="B75" s="3" t="s">
        <v>124</v>
      </c>
      <c r="E75" s="3">
        <v>12.0</v>
      </c>
      <c r="G75" s="129">
        <v>17.5</v>
      </c>
      <c r="H75" s="3">
        <v>22.0</v>
      </c>
    </row>
    <row r="76">
      <c r="E76" s="3">
        <v>20.0</v>
      </c>
      <c r="G76" s="129">
        <v>20.0</v>
      </c>
      <c r="H76" s="3">
        <v>15.0</v>
      </c>
    </row>
    <row r="77">
      <c r="B77" s="3" t="s">
        <v>124</v>
      </c>
      <c r="E77" s="3">
        <v>12.0</v>
      </c>
      <c r="G77" s="129">
        <v>17.5</v>
      </c>
      <c r="H77" s="3">
        <v>22.0</v>
      </c>
    </row>
    <row r="78">
      <c r="E78" s="3">
        <v>20.0</v>
      </c>
      <c r="G78" s="129">
        <v>20.0</v>
      </c>
      <c r="H78" s="3">
        <v>15.0</v>
      </c>
    </row>
    <row r="79">
      <c r="B79" s="3" t="s">
        <v>124</v>
      </c>
      <c r="E79" s="3">
        <v>12.0</v>
      </c>
    </row>
    <row r="80">
      <c r="E80" s="3">
        <v>20.0</v>
      </c>
    </row>
    <row r="81">
      <c r="B81" s="3" t="s">
        <v>124</v>
      </c>
      <c r="E81" s="3">
        <v>12.0</v>
      </c>
    </row>
    <row r="82">
      <c r="E82" s="3">
        <v>20.0</v>
      </c>
    </row>
    <row r="83">
      <c r="B83" s="3" t="s">
        <v>124</v>
      </c>
      <c r="E83" s="3">
        <v>12.0</v>
      </c>
    </row>
    <row r="84">
      <c r="E84" s="3">
        <v>20.0</v>
      </c>
    </row>
    <row r="85">
      <c r="A85" s="3"/>
      <c r="B85" s="3" t="s">
        <v>59</v>
      </c>
      <c r="C85" s="3"/>
      <c r="F85" s="3"/>
      <c r="G85" s="129"/>
      <c r="H85" s="3"/>
      <c r="I85" s="3">
        <v>16.0</v>
      </c>
      <c r="J85" s="3"/>
      <c r="K85" s="3"/>
      <c r="R85" s="3">
        <v>12.0</v>
      </c>
    </row>
    <row r="86">
      <c r="A86" s="3"/>
      <c r="B86" s="3"/>
      <c r="C86" s="3"/>
      <c r="F86" s="3"/>
      <c r="G86" s="129"/>
      <c r="H86" s="3"/>
      <c r="I86" s="3">
        <v>13.0</v>
      </c>
      <c r="J86" s="3"/>
      <c r="K86" s="3"/>
      <c r="R86" s="3">
        <v>10.0</v>
      </c>
    </row>
    <row r="87">
      <c r="A87" s="3"/>
      <c r="B87" s="3" t="s">
        <v>59</v>
      </c>
      <c r="C87" s="3"/>
      <c r="F87" s="3"/>
      <c r="G87" s="129"/>
      <c r="H87" s="3"/>
      <c r="I87" s="3">
        <v>17.0</v>
      </c>
      <c r="J87" s="3"/>
      <c r="K87" s="3"/>
      <c r="R87" s="3">
        <v>12.0</v>
      </c>
    </row>
    <row r="88">
      <c r="A88" s="3"/>
      <c r="B88" s="3"/>
      <c r="C88" s="3"/>
      <c r="F88" s="3"/>
      <c r="G88" s="129"/>
      <c r="H88" s="3"/>
      <c r="I88" s="3">
        <v>8.0</v>
      </c>
      <c r="J88" s="3"/>
      <c r="K88" s="3"/>
      <c r="R88" s="3">
        <v>10.0</v>
      </c>
    </row>
    <row r="89">
      <c r="A89" s="3"/>
      <c r="B89" s="3" t="s">
        <v>59</v>
      </c>
      <c r="C89" s="3"/>
      <c r="F89" s="3"/>
      <c r="G89" s="129"/>
      <c r="H89" s="3"/>
      <c r="I89" s="3">
        <v>15.0</v>
      </c>
      <c r="J89" s="3"/>
      <c r="K89" s="3"/>
      <c r="R89" s="3">
        <v>12.0</v>
      </c>
    </row>
    <row r="90">
      <c r="A90" s="3"/>
      <c r="B90" s="3"/>
      <c r="C90" s="3"/>
      <c r="F90" s="3"/>
      <c r="G90" s="129"/>
      <c r="H90" s="3"/>
      <c r="I90" s="3">
        <v>17.0</v>
      </c>
      <c r="J90" s="3"/>
      <c r="K90" s="3"/>
      <c r="W90" s="15" t="s">
        <v>26</v>
      </c>
      <c r="X90" s="60">
        <v>24.1</v>
      </c>
    </row>
    <row r="91">
      <c r="A91" s="3" t="s">
        <v>112</v>
      </c>
      <c r="B91" s="3" t="s">
        <v>113</v>
      </c>
      <c r="C91" s="3">
        <v>6.2</v>
      </c>
      <c r="F91" s="3">
        <v>18.0</v>
      </c>
      <c r="G91" s="129">
        <v>18.0</v>
      </c>
      <c r="H91" s="3">
        <v>18.0</v>
      </c>
      <c r="I91" s="3">
        <v>20.0</v>
      </c>
      <c r="J91" s="3">
        <v>19.0</v>
      </c>
      <c r="K91" s="3">
        <v>19.5</v>
      </c>
      <c r="L91" s="3">
        <v>21.0</v>
      </c>
      <c r="M91" s="3"/>
      <c r="W91" s="15" t="s">
        <v>37</v>
      </c>
      <c r="X91" s="60">
        <v>14.0</v>
      </c>
    </row>
    <row r="92">
      <c r="F92" s="3">
        <v>10.0</v>
      </c>
      <c r="G92" s="129">
        <v>11.0</v>
      </c>
      <c r="H92" s="3">
        <v>12.0</v>
      </c>
      <c r="I92" s="3">
        <v>10.0</v>
      </c>
      <c r="J92" s="3">
        <v>13.0</v>
      </c>
      <c r="K92" s="3">
        <v>13.0</v>
      </c>
      <c r="L92" s="3">
        <v>8.0</v>
      </c>
      <c r="M92" s="3"/>
      <c r="W92" s="15" t="s">
        <v>36</v>
      </c>
      <c r="X92" s="43">
        <f>ROUND(IF(X91&lt;10,AVERAGE(X90/(1.0278-0.0278*X91),X90*X91^0.1),AVERAGE(X90*(1+0.0333*X91),X90*X91^0.1)),1)</f>
        <v>33.4</v>
      </c>
    </row>
    <row r="93">
      <c r="B93" s="3" t="s">
        <v>113</v>
      </c>
      <c r="C93" s="3">
        <v>6.2</v>
      </c>
      <c r="F93" s="3">
        <v>18.0</v>
      </c>
      <c r="G93" s="129">
        <v>18.0</v>
      </c>
      <c r="H93" s="3">
        <v>18.0</v>
      </c>
      <c r="I93" s="3">
        <v>22.0</v>
      </c>
      <c r="J93" s="3">
        <v>21.0</v>
      </c>
      <c r="K93" s="3">
        <v>21.5</v>
      </c>
      <c r="L93" s="3">
        <v>21.0</v>
      </c>
    </row>
    <row r="94">
      <c r="F94" s="3">
        <v>10.0</v>
      </c>
      <c r="G94" s="129">
        <v>11.0</v>
      </c>
      <c r="H94" s="3">
        <v>12.0</v>
      </c>
      <c r="I94" s="3">
        <v>8.0</v>
      </c>
      <c r="J94" s="3">
        <v>9.0</v>
      </c>
      <c r="K94" s="3">
        <v>11.0</v>
      </c>
      <c r="L94" s="3">
        <v>8.0</v>
      </c>
      <c r="W94" s="15" t="s">
        <v>26</v>
      </c>
      <c r="X94" s="60">
        <v>28.1</v>
      </c>
    </row>
    <row r="95">
      <c r="B95" s="3" t="s">
        <v>113</v>
      </c>
      <c r="C95" s="3">
        <v>6.2</v>
      </c>
      <c r="F95" s="3">
        <v>18.0</v>
      </c>
      <c r="G95" s="129">
        <v>18.0</v>
      </c>
      <c r="H95" s="3">
        <v>18.0</v>
      </c>
      <c r="I95" s="3">
        <v>18.0</v>
      </c>
      <c r="J95" s="3">
        <v>17.0</v>
      </c>
      <c r="K95" s="3">
        <v>17.5</v>
      </c>
      <c r="L95" s="3">
        <v>21.0</v>
      </c>
      <c r="W95" s="15" t="s">
        <v>37</v>
      </c>
      <c r="X95" s="60">
        <v>9.0</v>
      </c>
    </row>
    <row r="96">
      <c r="F96" s="3">
        <v>10.0</v>
      </c>
      <c r="G96" s="129">
        <v>11.0</v>
      </c>
      <c r="H96" s="3">
        <v>12.0</v>
      </c>
      <c r="I96" s="3">
        <v>12.0</v>
      </c>
      <c r="J96" s="3">
        <v>16.0</v>
      </c>
      <c r="K96" s="3">
        <v>16.0</v>
      </c>
      <c r="L96" s="3">
        <v>8.0</v>
      </c>
      <c r="W96" s="15" t="s">
        <v>36</v>
      </c>
      <c r="X96" s="43">
        <f>ROUND(IF(X95&lt;10,AVERAGE(X94/(1.0278-0.0278*X95),X94*X95^0.1),AVERAGE(X94*(1+0.0333*X95),X94*X95^0.1)),1)</f>
        <v>35.6</v>
      </c>
    </row>
    <row r="97">
      <c r="A97" s="3" t="s">
        <v>125</v>
      </c>
      <c r="B97" s="3" t="s">
        <v>115</v>
      </c>
      <c r="C97" s="3">
        <v>4.6</v>
      </c>
      <c r="F97" s="3">
        <v>15.0</v>
      </c>
      <c r="G97" s="129">
        <v>16.0</v>
      </c>
      <c r="H97" s="3">
        <v>16.0</v>
      </c>
      <c r="I97" s="3">
        <v>20.0</v>
      </c>
      <c r="J97" s="3">
        <v>21.0</v>
      </c>
      <c r="K97" s="3">
        <v>21.5</v>
      </c>
      <c r="L97" s="3">
        <v>22.0</v>
      </c>
      <c r="M97" s="3"/>
    </row>
    <row r="98">
      <c r="F98" s="3">
        <v>15.0</v>
      </c>
      <c r="G98" s="129">
        <v>15.0</v>
      </c>
      <c r="H98" s="3">
        <v>16.0</v>
      </c>
      <c r="I98" s="3">
        <v>13.0</v>
      </c>
      <c r="J98" s="3">
        <v>12.0</v>
      </c>
      <c r="K98" s="3">
        <v>11.0</v>
      </c>
      <c r="L98" s="3">
        <v>8.0</v>
      </c>
      <c r="M98" s="3"/>
    </row>
    <row r="99">
      <c r="B99" s="3" t="s">
        <v>115</v>
      </c>
      <c r="C99" s="3">
        <v>4.6</v>
      </c>
      <c r="F99" s="3">
        <v>15.0</v>
      </c>
      <c r="G99" s="129">
        <v>16.0</v>
      </c>
      <c r="H99" s="3">
        <v>16.0</v>
      </c>
      <c r="I99" s="3">
        <v>24.0</v>
      </c>
      <c r="J99" s="3">
        <v>23.0</v>
      </c>
      <c r="K99" s="3">
        <v>23.5</v>
      </c>
      <c r="L99" s="3">
        <v>22.0</v>
      </c>
    </row>
    <row r="100">
      <c r="F100" s="3">
        <v>15.0</v>
      </c>
      <c r="G100" s="129">
        <v>15.0</v>
      </c>
      <c r="H100" s="3">
        <v>16.0</v>
      </c>
      <c r="I100" s="3">
        <v>7.0</v>
      </c>
      <c r="J100" s="3">
        <v>8.0</v>
      </c>
      <c r="K100" s="3">
        <v>9.0</v>
      </c>
      <c r="L100" s="3">
        <v>8.0</v>
      </c>
    </row>
    <row r="101">
      <c r="B101" s="3" t="s">
        <v>115</v>
      </c>
      <c r="C101" s="3">
        <v>4.6</v>
      </c>
      <c r="F101" s="3">
        <v>15.0</v>
      </c>
      <c r="G101" s="129">
        <v>16.0</v>
      </c>
      <c r="H101" s="3">
        <v>16.0</v>
      </c>
      <c r="I101" s="3">
        <v>22.0</v>
      </c>
      <c r="J101" s="3">
        <v>19.0</v>
      </c>
      <c r="K101" s="3">
        <v>19.5</v>
      </c>
      <c r="L101" s="3">
        <v>22.0</v>
      </c>
    </row>
    <row r="102">
      <c r="F102" s="3">
        <v>15.0</v>
      </c>
      <c r="G102" s="129">
        <v>20.0</v>
      </c>
      <c r="H102" s="3">
        <v>16.0</v>
      </c>
      <c r="I102" s="3">
        <v>10.0</v>
      </c>
      <c r="J102" s="3">
        <v>16.0</v>
      </c>
      <c r="K102" s="3">
        <v>15.0</v>
      </c>
      <c r="L102" s="3">
        <v>8.0</v>
      </c>
    </row>
    <row r="103">
      <c r="B103" s="3" t="s">
        <v>109</v>
      </c>
      <c r="C103" s="3">
        <v>8.0</v>
      </c>
      <c r="N103" s="3">
        <v>50.0</v>
      </c>
    </row>
    <row r="104">
      <c r="N104" s="3">
        <v>1.0</v>
      </c>
    </row>
    <row r="105">
      <c r="B105" s="3" t="s">
        <v>109</v>
      </c>
      <c r="C105" s="3">
        <v>8.0</v>
      </c>
      <c r="N105" s="3">
        <v>50.0</v>
      </c>
    </row>
    <row r="106">
      <c r="N106" s="3">
        <v>1.0</v>
      </c>
    </row>
    <row r="107">
      <c r="B107" s="3" t="s">
        <v>109</v>
      </c>
      <c r="C107" s="3">
        <v>8.0</v>
      </c>
      <c r="N107" s="3">
        <v>50.0</v>
      </c>
    </row>
    <row r="108">
      <c r="N108" s="3">
        <v>1.0</v>
      </c>
    </row>
    <row r="109">
      <c r="B109" s="3" t="s">
        <v>109</v>
      </c>
      <c r="C109" s="3">
        <v>8.0</v>
      </c>
    </row>
    <row r="111">
      <c r="B111" s="3" t="s">
        <v>109</v>
      </c>
      <c r="C111" s="3">
        <v>8.0</v>
      </c>
    </row>
    <row r="113">
      <c r="B113" s="3" t="s">
        <v>109</v>
      </c>
      <c r="C113" s="3">
        <v>8.0</v>
      </c>
    </row>
    <row r="115">
      <c r="B115" s="3" t="s">
        <v>109</v>
      </c>
      <c r="C115" s="3">
        <v>8.0</v>
      </c>
    </row>
    <row r="117">
      <c r="B117" s="3" t="s">
        <v>124</v>
      </c>
      <c r="J117" s="3">
        <v>0.0</v>
      </c>
      <c r="L117" s="3">
        <v>22.0</v>
      </c>
    </row>
    <row r="118">
      <c r="J118" s="3">
        <v>40.0</v>
      </c>
      <c r="L118" s="3">
        <v>20.0</v>
      </c>
    </row>
    <row r="119">
      <c r="B119" s="3" t="s">
        <v>124</v>
      </c>
      <c r="J119" s="3">
        <v>12.0</v>
      </c>
      <c r="L119" s="3">
        <v>22.0</v>
      </c>
    </row>
    <row r="120">
      <c r="J120" s="3">
        <v>30.0</v>
      </c>
      <c r="L120" s="3">
        <v>20.0</v>
      </c>
    </row>
    <row r="121">
      <c r="B121" s="3" t="s">
        <v>124</v>
      </c>
      <c r="J121" s="3">
        <v>22.0</v>
      </c>
      <c r="L121" s="3">
        <v>22.0</v>
      </c>
    </row>
    <row r="122">
      <c r="J122" s="3">
        <v>20.0</v>
      </c>
      <c r="L122" s="3">
        <v>20.0</v>
      </c>
    </row>
    <row r="123">
      <c r="B123" s="3" t="s">
        <v>85</v>
      </c>
      <c r="C123" s="3">
        <v>8.0</v>
      </c>
      <c r="N123" s="3">
        <v>40.0</v>
      </c>
    </row>
    <row r="124">
      <c r="N124" s="3">
        <v>3.0</v>
      </c>
    </row>
    <row r="125">
      <c r="B125" s="3" t="s">
        <v>85</v>
      </c>
      <c r="C125" s="3">
        <v>8.0</v>
      </c>
      <c r="N125" s="3">
        <v>44.0</v>
      </c>
    </row>
    <row r="126">
      <c r="N126" s="3">
        <v>3.0</v>
      </c>
    </row>
    <row r="127">
      <c r="B127" s="3" t="s">
        <v>85</v>
      </c>
      <c r="C127" s="3">
        <v>8.0</v>
      </c>
      <c r="N127" s="3">
        <v>48.0</v>
      </c>
    </row>
    <row r="128">
      <c r="N128" s="3">
        <v>3.0</v>
      </c>
    </row>
    <row r="129">
      <c r="B129" s="3" t="s">
        <v>85</v>
      </c>
      <c r="C129" s="3">
        <v>8.0</v>
      </c>
      <c r="N129" s="3">
        <v>50.0</v>
      </c>
    </row>
    <row r="130">
      <c r="N130" s="3">
        <v>2.0</v>
      </c>
    </row>
    <row r="131">
      <c r="B131" s="3" t="s">
        <v>85</v>
      </c>
      <c r="C131" s="3">
        <v>8.0</v>
      </c>
      <c r="N131" s="3">
        <v>52.0</v>
      </c>
    </row>
    <row r="132">
      <c r="N132" s="3">
        <v>2.0</v>
      </c>
    </row>
    <row r="133">
      <c r="B133" s="3" t="s">
        <v>85</v>
      </c>
      <c r="C133" s="3">
        <v>8.0</v>
      </c>
      <c r="N133" s="3">
        <v>54.0</v>
      </c>
    </row>
    <row r="134">
      <c r="N134" s="3">
        <v>2.0</v>
      </c>
    </row>
    <row r="135">
      <c r="B135" s="3" t="s">
        <v>85</v>
      </c>
      <c r="C135" s="3">
        <v>8.0</v>
      </c>
      <c r="N135" s="3">
        <v>56.0</v>
      </c>
    </row>
    <row r="136">
      <c r="N136" s="3">
        <v>1.0</v>
      </c>
    </row>
    <row r="137">
      <c r="B137" s="3" t="s">
        <v>85</v>
      </c>
      <c r="C137" s="3">
        <v>8.0</v>
      </c>
      <c r="N137" s="3">
        <v>58.0</v>
      </c>
    </row>
    <row r="138">
      <c r="N138" s="3">
        <v>1.0</v>
      </c>
    </row>
    <row r="139">
      <c r="B139" s="3" t="s">
        <v>83</v>
      </c>
      <c r="C139" s="3">
        <v>8.0</v>
      </c>
      <c r="O139" s="3">
        <v>4.0</v>
      </c>
      <c r="P139" s="3">
        <v>20.0</v>
      </c>
      <c r="Q139" s="3">
        <v>20.0</v>
      </c>
    </row>
    <row r="140">
      <c r="O140" s="3">
        <v>5.0</v>
      </c>
      <c r="P140" s="3">
        <v>5.0</v>
      </c>
      <c r="Q140" s="3">
        <v>5.0</v>
      </c>
    </row>
    <row r="141">
      <c r="B141" s="3" t="s">
        <v>83</v>
      </c>
      <c r="C141" s="3">
        <v>8.0</v>
      </c>
      <c r="O141" s="3">
        <v>4.0</v>
      </c>
      <c r="P141" s="3">
        <v>20.5</v>
      </c>
      <c r="Q141" s="3">
        <v>21.0</v>
      </c>
    </row>
    <row r="142">
      <c r="O142" s="3">
        <v>5.0</v>
      </c>
      <c r="P142" s="3">
        <v>5.0</v>
      </c>
      <c r="Q142" s="3">
        <v>5.0</v>
      </c>
    </row>
    <row r="143">
      <c r="B143" s="3" t="s">
        <v>83</v>
      </c>
      <c r="C143" s="3">
        <v>8.0</v>
      </c>
      <c r="O143" s="3">
        <v>4.0</v>
      </c>
      <c r="P143" s="3">
        <v>21.0</v>
      </c>
      <c r="Q143" s="3">
        <v>22.0</v>
      </c>
    </row>
    <row r="144">
      <c r="O144" s="3">
        <v>5.0</v>
      </c>
      <c r="P144" s="3">
        <v>5.0</v>
      </c>
      <c r="Q144" s="3">
        <v>5.0</v>
      </c>
    </row>
    <row r="145">
      <c r="B145" s="75" t="s">
        <v>62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59" t="s">
        <v>126</v>
      </c>
      <c r="C1" s="130"/>
      <c r="D1" s="131">
        <v>45821.0</v>
      </c>
      <c r="E1" s="68">
        <v>45828.0</v>
      </c>
      <c r="F1" s="48">
        <v>45835.0</v>
      </c>
      <c r="G1" s="68">
        <v>45842.0</v>
      </c>
      <c r="H1" s="48">
        <v>45849.0</v>
      </c>
      <c r="I1" s="48">
        <v>45856.0</v>
      </c>
      <c r="J1" s="84">
        <v>45863.0</v>
      </c>
      <c r="K1" s="84">
        <v>45870.0</v>
      </c>
      <c r="L1" s="84">
        <v>45877.0</v>
      </c>
      <c r="M1" s="84">
        <v>45884.0</v>
      </c>
      <c r="N1" s="84">
        <v>45891.0</v>
      </c>
      <c r="O1" s="84">
        <v>45898.0</v>
      </c>
      <c r="P1" s="84">
        <v>45905.0</v>
      </c>
      <c r="Q1" s="84">
        <v>45926.0</v>
      </c>
      <c r="R1" s="84">
        <v>45933.0</v>
      </c>
      <c r="S1" s="84">
        <v>45940.0</v>
      </c>
      <c r="T1" s="84">
        <v>45947.0</v>
      </c>
      <c r="U1" s="84">
        <v>45954.0</v>
      </c>
      <c r="V1" s="84">
        <v>45961.0</v>
      </c>
      <c r="W1" s="84">
        <v>45968.0</v>
      </c>
      <c r="X1" s="84">
        <v>45969.0</v>
      </c>
      <c r="Y1" s="75" t="s">
        <v>62</v>
      </c>
      <c r="AB1" s="59" t="s">
        <v>127</v>
      </c>
      <c r="AC1" s="130"/>
      <c r="AD1" s="3" t="s">
        <v>128</v>
      </c>
      <c r="AE1" s="3" t="s">
        <v>128</v>
      </c>
      <c r="AF1" s="3" t="s">
        <v>128</v>
      </c>
      <c r="AG1" s="3" t="s">
        <v>128</v>
      </c>
      <c r="AH1" s="3" t="s">
        <v>128</v>
      </c>
      <c r="AI1" s="3" t="s">
        <v>128</v>
      </c>
      <c r="AK1" s="75" t="s">
        <v>62</v>
      </c>
    </row>
    <row r="2">
      <c r="B2" s="132"/>
      <c r="C2" s="59"/>
      <c r="D2" s="67">
        <v>67.1</v>
      </c>
      <c r="E2" s="67">
        <v>65.8</v>
      </c>
      <c r="F2" s="3">
        <v>66.5</v>
      </c>
      <c r="G2" s="3">
        <v>66.4</v>
      </c>
      <c r="H2" s="3">
        <v>66.5</v>
      </c>
      <c r="I2" s="3">
        <v>66.9</v>
      </c>
      <c r="J2" s="3">
        <v>66.9</v>
      </c>
      <c r="K2" s="3">
        <v>66.9</v>
      </c>
      <c r="L2" s="3">
        <v>67.8</v>
      </c>
      <c r="M2" s="3">
        <v>68.6</v>
      </c>
      <c r="N2" s="3">
        <v>66.7</v>
      </c>
      <c r="O2" s="3">
        <v>66.5</v>
      </c>
      <c r="P2" s="3">
        <v>67.0</v>
      </c>
      <c r="Q2" s="3">
        <v>66.2</v>
      </c>
      <c r="R2" s="3">
        <v>66.6</v>
      </c>
      <c r="S2" s="3">
        <v>67.2</v>
      </c>
      <c r="T2" s="3">
        <v>68.1</v>
      </c>
      <c r="U2" s="3">
        <v>68.6</v>
      </c>
      <c r="V2" s="3">
        <v>68.5</v>
      </c>
      <c r="W2" s="3">
        <v>69.1</v>
      </c>
      <c r="X2" s="3">
        <v>68.8</v>
      </c>
      <c r="AB2" s="132"/>
      <c r="AC2" s="59"/>
      <c r="AG2" s="3" t="s">
        <v>129</v>
      </c>
      <c r="AI2" s="3" t="s">
        <v>130</v>
      </c>
    </row>
    <row r="3">
      <c r="B3" s="133" t="s">
        <v>65</v>
      </c>
      <c r="C3" s="134">
        <v>8.0</v>
      </c>
      <c r="D3" s="135">
        <v>60.0</v>
      </c>
      <c r="E3" s="135">
        <v>60.0</v>
      </c>
      <c r="F3" s="136">
        <v>60.0</v>
      </c>
      <c r="G3" s="136">
        <v>60.0</v>
      </c>
      <c r="H3" s="136">
        <v>60.0</v>
      </c>
      <c r="I3" s="137"/>
      <c r="AD3" s="131">
        <v>45821.0</v>
      </c>
      <c r="AE3" s="68">
        <v>45828.0</v>
      </c>
      <c r="AF3" s="48">
        <v>45835.0</v>
      </c>
      <c r="AG3" s="68">
        <v>45842.0</v>
      </c>
      <c r="AH3" s="48">
        <v>45849.0</v>
      </c>
      <c r="AI3" s="48">
        <v>45856.0</v>
      </c>
      <c r="AJ3" s="84">
        <v>45863.0</v>
      </c>
    </row>
    <row r="4">
      <c r="B4" s="138"/>
      <c r="C4" s="59"/>
      <c r="D4" s="67">
        <v>3.0</v>
      </c>
      <c r="E4" s="67">
        <v>4.0</v>
      </c>
      <c r="F4" s="3">
        <v>3.0</v>
      </c>
      <c r="G4" s="3">
        <v>3.0</v>
      </c>
      <c r="H4" s="3">
        <v>3.0</v>
      </c>
      <c r="I4" s="139"/>
      <c r="AD4" s="67">
        <v>67.1</v>
      </c>
      <c r="AE4" s="67">
        <v>65.8</v>
      </c>
      <c r="AF4" s="3">
        <v>66.5</v>
      </c>
      <c r="AG4" s="3">
        <v>66.4</v>
      </c>
      <c r="AH4" s="3">
        <v>66.5</v>
      </c>
      <c r="AI4" s="3">
        <v>66.9</v>
      </c>
      <c r="AJ4" s="3">
        <v>66.9</v>
      </c>
    </row>
    <row r="5">
      <c r="B5" s="140" t="s">
        <v>65</v>
      </c>
      <c r="C5" s="59">
        <v>8.0</v>
      </c>
      <c r="D5" s="67">
        <v>70.0</v>
      </c>
      <c r="E5" s="67">
        <v>70.0</v>
      </c>
      <c r="F5" s="3">
        <v>70.0</v>
      </c>
      <c r="G5" s="3">
        <v>70.0</v>
      </c>
      <c r="H5" s="3">
        <v>70.0</v>
      </c>
      <c r="I5" s="141"/>
      <c r="J5" s="141"/>
      <c r="Z5" s="141"/>
    </row>
    <row r="6">
      <c r="B6" s="138"/>
      <c r="C6" s="59"/>
      <c r="D6" s="67">
        <v>2.0</v>
      </c>
      <c r="E6" s="67">
        <v>2.0</v>
      </c>
      <c r="F6" s="3">
        <v>2.0</v>
      </c>
      <c r="G6" s="3">
        <v>2.0</v>
      </c>
      <c r="H6" s="3">
        <v>2.0</v>
      </c>
      <c r="I6" s="139"/>
      <c r="J6" s="139"/>
      <c r="Z6" s="139"/>
    </row>
    <row r="7">
      <c r="B7" s="140" t="s">
        <v>65</v>
      </c>
      <c r="C7" s="59">
        <v>8.0</v>
      </c>
      <c r="D7" s="67">
        <v>79.0</v>
      </c>
      <c r="E7" s="67">
        <v>84.0</v>
      </c>
      <c r="F7" s="3">
        <v>80.0</v>
      </c>
      <c r="G7" s="3">
        <v>80.0</v>
      </c>
      <c r="H7" s="3">
        <v>80.0</v>
      </c>
      <c r="I7" s="139"/>
      <c r="J7" s="139"/>
      <c r="Z7" s="139"/>
    </row>
    <row r="8">
      <c r="B8" s="138"/>
      <c r="C8" s="59"/>
      <c r="D8" s="67">
        <v>1.0</v>
      </c>
      <c r="E8" s="67">
        <v>1.0</v>
      </c>
      <c r="F8" s="3">
        <v>1.0</v>
      </c>
      <c r="G8" s="3">
        <v>1.0</v>
      </c>
      <c r="H8" s="3">
        <v>1.0</v>
      </c>
      <c r="I8" s="139"/>
      <c r="J8" s="139"/>
      <c r="Z8" s="139"/>
    </row>
    <row r="9">
      <c r="B9" s="140" t="s">
        <v>65</v>
      </c>
      <c r="C9" s="59">
        <v>8.0</v>
      </c>
      <c r="D9" s="142">
        <v>80.0</v>
      </c>
      <c r="E9" s="142">
        <v>85.0</v>
      </c>
      <c r="F9" s="128">
        <v>92.0</v>
      </c>
      <c r="G9" s="143">
        <v>93.0</v>
      </c>
      <c r="H9" s="3">
        <v>90.0</v>
      </c>
      <c r="I9" s="141"/>
      <c r="J9" s="141"/>
      <c r="Z9" s="141"/>
    </row>
    <row r="10">
      <c r="B10" s="140"/>
      <c r="C10" s="59"/>
      <c r="D10" s="142">
        <v>1.0</v>
      </c>
      <c r="E10" s="142">
        <v>1.0</v>
      </c>
      <c r="F10" s="142">
        <v>1.0</v>
      </c>
      <c r="G10" s="143">
        <v>1.0</v>
      </c>
      <c r="H10" s="3">
        <v>1.0</v>
      </c>
      <c r="I10" s="139"/>
    </row>
    <row r="11">
      <c r="B11" s="140" t="s">
        <v>65</v>
      </c>
      <c r="C11" s="59">
        <v>8.0</v>
      </c>
      <c r="D11" s="67"/>
      <c r="E11" s="67"/>
      <c r="F11" s="3"/>
      <c r="G11" s="143">
        <v>94.0</v>
      </c>
      <c r="H11" s="143">
        <v>95.0</v>
      </c>
      <c r="I11" s="139"/>
    </row>
    <row r="12">
      <c r="B12" s="144"/>
      <c r="C12" s="145"/>
      <c r="D12" s="146"/>
      <c r="E12" s="146"/>
      <c r="F12" s="147"/>
      <c r="G12" s="148">
        <v>1.0</v>
      </c>
      <c r="H12" s="148">
        <v>1.0</v>
      </c>
      <c r="I12" s="149"/>
    </row>
    <row r="13">
      <c r="B13" s="133" t="s">
        <v>68</v>
      </c>
      <c r="C13" s="134">
        <v>8.0</v>
      </c>
      <c r="D13" s="135">
        <v>40.0</v>
      </c>
      <c r="E13" s="135">
        <v>50.0</v>
      </c>
      <c r="F13" s="136">
        <v>50.0</v>
      </c>
      <c r="G13" s="136">
        <v>50.0</v>
      </c>
      <c r="H13" s="136">
        <v>50.0</v>
      </c>
      <c r="I13" s="137"/>
      <c r="Q13" s="3">
        <v>70.0</v>
      </c>
      <c r="R13" s="3">
        <v>72.0</v>
      </c>
      <c r="X13" s="3">
        <v>50.0</v>
      </c>
    </row>
    <row r="14">
      <c r="B14" s="138"/>
      <c r="C14" s="59"/>
      <c r="D14" s="67">
        <v>15.0</v>
      </c>
      <c r="E14" s="67">
        <v>13.0</v>
      </c>
      <c r="F14" s="3">
        <v>14.0</v>
      </c>
      <c r="G14" s="3">
        <v>10.0</v>
      </c>
      <c r="H14" s="3">
        <v>10.0</v>
      </c>
      <c r="I14" s="139"/>
      <c r="Q14" s="3">
        <v>2.0</v>
      </c>
      <c r="R14" s="3">
        <v>2.0</v>
      </c>
      <c r="X14" s="3">
        <v>3.0</v>
      </c>
    </row>
    <row r="15">
      <c r="B15" s="140" t="s">
        <v>68</v>
      </c>
      <c r="C15" s="59">
        <v>8.0</v>
      </c>
      <c r="D15" s="67">
        <v>50.0</v>
      </c>
      <c r="E15" s="67">
        <v>60.0</v>
      </c>
      <c r="F15" s="3">
        <v>60.0</v>
      </c>
      <c r="G15" s="128">
        <v>61.0</v>
      </c>
      <c r="H15" s="128">
        <v>62.0</v>
      </c>
      <c r="I15" s="139"/>
      <c r="Q15" s="3">
        <v>70.0</v>
      </c>
      <c r="R15" s="3">
        <v>72.0</v>
      </c>
      <c r="X15" s="3">
        <v>60.0</v>
      </c>
    </row>
    <row r="16">
      <c r="B16" s="138"/>
      <c r="C16" s="132"/>
      <c r="D16" s="67">
        <v>12.0</v>
      </c>
      <c r="E16" s="67">
        <v>8.0</v>
      </c>
      <c r="F16" s="3">
        <v>8.0</v>
      </c>
      <c r="G16" s="128">
        <v>8.0</v>
      </c>
      <c r="H16" s="128">
        <v>8.0</v>
      </c>
      <c r="I16" s="139"/>
      <c r="Q16" s="3">
        <v>2.0</v>
      </c>
      <c r="R16" s="3">
        <v>2.0</v>
      </c>
      <c r="X16" s="3">
        <v>2.0</v>
      </c>
    </row>
    <row r="17">
      <c r="B17" s="140" t="s">
        <v>68</v>
      </c>
      <c r="C17" s="59">
        <v>8.0</v>
      </c>
      <c r="D17" s="67">
        <v>60.0</v>
      </c>
      <c r="E17" s="67">
        <v>70.0</v>
      </c>
      <c r="F17" s="3">
        <v>70.0</v>
      </c>
      <c r="G17" s="128">
        <v>71.0</v>
      </c>
      <c r="H17" s="128">
        <v>72.0</v>
      </c>
      <c r="I17" s="139"/>
      <c r="Q17" s="3">
        <v>70.0</v>
      </c>
      <c r="R17" s="3">
        <v>72.0</v>
      </c>
      <c r="X17" s="3">
        <v>70.0</v>
      </c>
      <c r="Z17" s="15" t="s">
        <v>26</v>
      </c>
      <c r="AA17" s="150">
        <v>54.0</v>
      </c>
      <c r="AB17" s="3" t="s">
        <v>26</v>
      </c>
      <c r="AC17" s="151">
        <f>IF(AC18&lt;10, 2*AC19 / (1/(1.0278 - 0.0278*AC18) + AC18^0.1), 2*AC19 / ((1 + 0.0333*AC18) + AC18^0.1))</f>
        <v>48.22102825</v>
      </c>
    </row>
    <row r="18">
      <c r="B18" s="138"/>
      <c r="C18" s="132"/>
      <c r="D18" s="67">
        <v>8.0</v>
      </c>
      <c r="E18" s="67">
        <v>5.0</v>
      </c>
      <c r="F18" s="3">
        <v>5.0</v>
      </c>
      <c r="G18" s="128">
        <v>5.0</v>
      </c>
      <c r="H18" s="128">
        <v>5.0</v>
      </c>
      <c r="I18" s="139"/>
      <c r="Q18" s="3">
        <v>2.0</v>
      </c>
      <c r="R18" s="3">
        <v>2.0</v>
      </c>
      <c r="X18" s="3">
        <v>1.0</v>
      </c>
      <c r="Z18" s="15" t="s">
        <v>37</v>
      </c>
      <c r="AA18" s="150">
        <v>12.0</v>
      </c>
      <c r="AB18" s="3" t="s">
        <v>131</v>
      </c>
      <c r="AC18" s="152">
        <v>4.0</v>
      </c>
    </row>
    <row r="19">
      <c r="B19" s="140" t="s">
        <v>68</v>
      </c>
      <c r="C19" s="59">
        <v>8.0</v>
      </c>
      <c r="D19" s="67">
        <v>70.0</v>
      </c>
      <c r="E19" s="67">
        <v>75.0</v>
      </c>
      <c r="F19" s="153">
        <v>78.0</v>
      </c>
      <c r="G19" s="3">
        <v>77.0</v>
      </c>
      <c r="H19" s="3">
        <v>77.0</v>
      </c>
      <c r="I19" s="139"/>
      <c r="X19" s="3">
        <v>74.0</v>
      </c>
      <c r="Z19" s="15" t="s">
        <v>36</v>
      </c>
      <c r="AA19" s="43">
        <f>ROUND(IF(AA18&lt;10,AVERAGE(AA17/(1.0278-0.0278*AA18),AA17*AA18^0.1),AVERAGE(AA17*(1+0.0333*AA18),AA17*AA18^0.1)),1)</f>
        <v>72.4</v>
      </c>
      <c r="AB19" s="3" t="s">
        <v>132</v>
      </c>
      <c r="AC19" s="152">
        <v>54.0</v>
      </c>
    </row>
    <row r="20">
      <c r="B20" s="138"/>
      <c r="C20" s="132"/>
      <c r="D20" s="67">
        <v>5.0</v>
      </c>
      <c r="E20" s="67">
        <v>3.0</v>
      </c>
      <c r="F20" s="153">
        <v>3.0</v>
      </c>
      <c r="G20" s="3">
        <v>3.0</v>
      </c>
      <c r="H20" s="3">
        <v>3.0</v>
      </c>
      <c r="I20" s="139"/>
      <c r="X20" s="3">
        <v>1.0</v>
      </c>
    </row>
    <row r="21">
      <c r="B21" s="140" t="s">
        <v>68</v>
      </c>
      <c r="C21" s="59">
        <v>8.0</v>
      </c>
      <c r="D21" s="142">
        <v>74.0</v>
      </c>
      <c r="E21" s="142">
        <v>77.0</v>
      </c>
      <c r="F21" s="128">
        <v>79.0</v>
      </c>
      <c r="G21" s="128">
        <v>79.0</v>
      </c>
      <c r="H21" s="128">
        <v>80.0</v>
      </c>
      <c r="I21" s="139"/>
      <c r="X21" s="3">
        <v>78.0</v>
      </c>
    </row>
    <row r="22">
      <c r="B22" s="154"/>
      <c r="C22" s="155"/>
      <c r="D22" s="156">
        <v>3.0</v>
      </c>
      <c r="E22" s="156">
        <v>3.0</v>
      </c>
      <c r="F22" s="157">
        <v>1.0</v>
      </c>
      <c r="G22" s="157">
        <v>2.0</v>
      </c>
      <c r="H22" s="157">
        <v>2.0</v>
      </c>
      <c r="I22" s="149"/>
      <c r="X22" s="3">
        <v>1.0</v>
      </c>
      <c r="Z22" s="15" t="s">
        <v>26</v>
      </c>
      <c r="AA22" s="60">
        <v>48.0</v>
      </c>
    </row>
    <row r="23">
      <c r="B23" s="140" t="s">
        <v>68</v>
      </c>
      <c r="C23" s="59">
        <v>8.0</v>
      </c>
      <c r="D23" s="142"/>
      <c r="E23" s="142"/>
      <c r="F23" s="128"/>
      <c r="G23" s="128"/>
      <c r="H23" s="128"/>
      <c r="I23" s="139"/>
      <c r="X23" s="143">
        <v>82.0</v>
      </c>
      <c r="AA23" s="60"/>
    </row>
    <row r="24">
      <c r="B24" s="138"/>
      <c r="C24" s="132"/>
      <c r="D24" s="142"/>
      <c r="E24" s="142"/>
      <c r="F24" s="128"/>
      <c r="G24" s="128"/>
      <c r="H24" s="128"/>
      <c r="I24" s="139"/>
      <c r="X24" s="143">
        <v>1.0</v>
      </c>
      <c r="AA24" s="60"/>
    </row>
    <row r="25">
      <c r="B25" s="140" t="s">
        <v>56</v>
      </c>
      <c r="C25" s="59">
        <v>8.0</v>
      </c>
      <c r="D25" s="67"/>
      <c r="E25" s="67"/>
      <c r="F25" s="3"/>
      <c r="G25" s="3"/>
      <c r="H25" s="3"/>
      <c r="I25" s="139"/>
      <c r="N25" s="128"/>
      <c r="O25" s="3"/>
      <c r="Q25" s="3"/>
      <c r="T25" s="3">
        <v>40.0</v>
      </c>
      <c r="U25" s="3">
        <v>40.0</v>
      </c>
      <c r="V25" s="3">
        <v>40.0</v>
      </c>
      <c r="AA25" s="60"/>
    </row>
    <row r="26">
      <c r="B26" s="140"/>
      <c r="C26" s="59"/>
      <c r="D26" s="67"/>
      <c r="E26" s="67"/>
      <c r="F26" s="3"/>
      <c r="G26" s="3"/>
      <c r="H26" s="3"/>
      <c r="I26" s="139"/>
      <c r="N26" s="128"/>
      <c r="O26" s="3"/>
      <c r="Q26" s="3"/>
      <c r="R26" s="3"/>
      <c r="T26" s="3">
        <v>3.0</v>
      </c>
      <c r="U26" s="3">
        <v>3.0</v>
      </c>
      <c r="V26" s="3">
        <v>3.0</v>
      </c>
      <c r="AA26" s="60"/>
    </row>
    <row r="27">
      <c r="B27" s="133" t="s">
        <v>109</v>
      </c>
      <c r="C27" s="134">
        <v>8.0</v>
      </c>
      <c r="D27" s="135">
        <v>40.0</v>
      </c>
      <c r="E27" s="135">
        <v>40.0</v>
      </c>
      <c r="F27" s="136">
        <v>40.0</v>
      </c>
      <c r="G27" s="136">
        <v>40.0</v>
      </c>
      <c r="H27" s="136">
        <v>40.0</v>
      </c>
      <c r="I27" s="137"/>
      <c r="N27" s="128">
        <v>50.0</v>
      </c>
      <c r="O27" s="3">
        <v>40.0</v>
      </c>
      <c r="Q27" s="3">
        <v>54.0</v>
      </c>
      <c r="R27" s="3">
        <v>55.0</v>
      </c>
      <c r="T27" s="3">
        <v>50.0</v>
      </c>
      <c r="U27" s="3">
        <v>50.0</v>
      </c>
      <c r="V27" s="3">
        <v>50.0</v>
      </c>
      <c r="Z27" s="15" t="s">
        <v>37</v>
      </c>
      <c r="AA27" s="60">
        <v>4.0</v>
      </c>
    </row>
    <row r="28">
      <c r="B28" s="138"/>
      <c r="C28" s="132"/>
      <c r="D28" s="67">
        <v>3.0</v>
      </c>
      <c r="E28" s="67">
        <v>3.0</v>
      </c>
      <c r="F28" s="3">
        <v>3.0</v>
      </c>
      <c r="G28" s="3">
        <v>3.0</v>
      </c>
      <c r="H28" s="3">
        <v>3.0</v>
      </c>
      <c r="I28" s="139"/>
      <c r="N28" s="128">
        <v>3.0</v>
      </c>
      <c r="O28" s="3">
        <v>5.0</v>
      </c>
      <c r="Q28" s="3">
        <v>1.0</v>
      </c>
      <c r="R28" s="3">
        <v>1.0</v>
      </c>
      <c r="T28" s="3">
        <v>1.0</v>
      </c>
      <c r="U28" s="3">
        <v>1.0</v>
      </c>
      <c r="V28" s="3">
        <v>1.0</v>
      </c>
      <c r="Z28" s="15" t="s">
        <v>36</v>
      </c>
      <c r="AA28" s="43">
        <f>ROUND(IF(AA27&lt;10,AVERAGE(AA22/(1.0278-0.0278*AA27),AA22*AA27^0.1),AVERAGE(AA22*(1+0.0333*AA27),AA22*AA27^0.1)),1)</f>
        <v>53.8</v>
      </c>
      <c r="AD28" s="48"/>
      <c r="AE28" s="136"/>
      <c r="AI28" s="128"/>
      <c r="AJ28" s="128"/>
      <c r="AK28" s="128"/>
      <c r="AL28" s="128"/>
      <c r="AM28" s="158"/>
      <c r="AN28" s="159"/>
    </row>
    <row r="29">
      <c r="B29" s="140" t="s">
        <v>109</v>
      </c>
      <c r="C29" s="59">
        <v>8.0</v>
      </c>
      <c r="D29" s="67">
        <v>44.0</v>
      </c>
      <c r="E29" s="67">
        <v>44.0</v>
      </c>
      <c r="F29" s="3">
        <v>48.0</v>
      </c>
      <c r="G29" s="3">
        <v>48.0</v>
      </c>
      <c r="H29" s="3">
        <v>48.0</v>
      </c>
      <c r="I29" s="139"/>
      <c r="N29" s="128">
        <v>52.0</v>
      </c>
      <c r="O29" s="128">
        <v>50.0</v>
      </c>
      <c r="Q29" s="3">
        <v>54.0</v>
      </c>
      <c r="R29" s="3">
        <v>55.0</v>
      </c>
      <c r="T29" s="3">
        <v>50.0</v>
      </c>
      <c r="U29" s="3">
        <v>51.0</v>
      </c>
      <c r="V29" s="3">
        <v>52.0</v>
      </c>
      <c r="AD29" s="52"/>
      <c r="AE29" s="160"/>
      <c r="AF29" s="128"/>
      <c r="AG29" s="128"/>
      <c r="AH29" s="128"/>
      <c r="AI29" s="128"/>
      <c r="AJ29" s="128"/>
      <c r="AK29" s="128"/>
      <c r="AL29" s="128"/>
      <c r="AM29" s="142"/>
      <c r="AN29" s="156"/>
    </row>
    <row r="30">
      <c r="B30" s="138"/>
      <c r="C30" s="132"/>
      <c r="D30" s="67">
        <v>3.0</v>
      </c>
      <c r="E30" s="67">
        <v>3.0</v>
      </c>
      <c r="F30" s="3">
        <v>3.0</v>
      </c>
      <c r="G30" s="3">
        <v>3.0</v>
      </c>
      <c r="H30" s="3">
        <v>3.0</v>
      </c>
      <c r="I30" s="139"/>
      <c r="N30" s="128">
        <v>3.0</v>
      </c>
      <c r="O30" s="128">
        <v>4.0</v>
      </c>
      <c r="Q30" s="3">
        <v>1.0</v>
      </c>
      <c r="R30" s="3">
        <v>1.0</v>
      </c>
      <c r="T30" s="3">
        <v>1.0</v>
      </c>
      <c r="U30" s="3">
        <v>1.0</v>
      </c>
      <c r="V30" s="3">
        <v>1.0</v>
      </c>
      <c r="AD30" s="48"/>
      <c r="AE30" s="160"/>
      <c r="AF30" s="128"/>
      <c r="AG30" s="128"/>
      <c r="AH30" s="128"/>
      <c r="AI30" s="128"/>
      <c r="AJ30" s="128"/>
      <c r="AK30" s="128"/>
      <c r="AL30" s="128"/>
      <c r="AM30" s="158"/>
      <c r="AN30" s="159"/>
    </row>
    <row r="31">
      <c r="B31" s="140" t="s">
        <v>109</v>
      </c>
      <c r="C31" s="59">
        <v>8.0</v>
      </c>
      <c r="D31" s="67">
        <v>48.0</v>
      </c>
      <c r="E31" s="67">
        <v>48.0</v>
      </c>
      <c r="F31" s="3">
        <v>50.0</v>
      </c>
      <c r="G31" s="128">
        <v>50.5</v>
      </c>
      <c r="H31" s="128">
        <v>51.0</v>
      </c>
      <c r="I31" s="139"/>
      <c r="N31" s="128">
        <v>54.0</v>
      </c>
      <c r="O31" s="128">
        <v>53.0</v>
      </c>
      <c r="Q31" s="3">
        <v>54.0</v>
      </c>
      <c r="R31" s="3">
        <v>55.0</v>
      </c>
      <c r="T31" s="3">
        <v>50.0</v>
      </c>
      <c r="U31" s="3">
        <v>52.0</v>
      </c>
      <c r="V31" s="3">
        <v>53.0</v>
      </c>
      <c r="AD31" s="48"/>
      <c r="AE31" s="161"/>
      <c r="AF31" s="141"/>
      <c r="AG31" s="141"/>
      <c r="AH31" s="141"/>
      <c r="AI31" s="141"/>
      <c r="AJ31" s="141"/>
      <c r="AK31" s="162"/>
      <c r="AL31" s="162"/>
      <c r="AM31" s="163"/>
      <c r="AN31" s="164"/>
    </row>
    <row r="32">
      <c r="B32" s="138"/>
      <c r="C32" s="132"/>
      <c r="D32" s="67">
        <v>3.0</v>
      </c>
      <c r="E32" s="67">
        <v>3.0</v>
      </c>
      <c r="F32" s="3">
        <v>2.0</v>
      </c>
      <c r="G32" s="128">
        <v>2.0</v>
      </c>
      <c r="H32" s="128">
        <v>2.0</v>
      </c>
      <c r="I32" s="139"/>
      <c r="N32" s="128">
        <v>2.0</v>
      </c>
      <c r="O32" s="128">
        <v>3.0</v>
      </c>
      <c r="Q32" s="3">
        <v>1.0</v>
      </c>
      <c r="R32" s="3">
        <v>1.0</v>
      </c>
      <c r="T32" s="3">
        <v>1.0</v>
      </c>
      <c r="U32" s="3">
        <v>1.0</v>
      </c>
      <c r="V32" s="3">
        <v>1.0</v>
      </c>
      <c r="AD32" s="52"/>
      <c r="AE32" s="128"/>
      <c r="AF32" s="128"/>
      <c r="AG32" s="128"/>
      <c r="AH32" s="128"/>
      <c r="AI32" s="128"/>
      <c r="AJ32" s="128"/>
      <c r="AM32" s="158"/>
      <c r="AN32" s="158"/>
    </row>
    <row r="33">
      <c r="B33" s="140" t="s">
        <v>109</v>
      </c>
      <c r="C33" s="59">
        <v>8.0</v>
      </c>
      <c r="D33" s="142">
        <v>49.0</v>
      </c>
      <c r="E33" s="67">
        <v>50.0</v>
      </c>
      <c r="F33" s="3">
        <v>52.0</v>
      </c>
      <c r="I33" s="139"/>
      <c r="N33" s="128">
        <v>56.0</v>
      </c>
      <c r="O33" s="128">
        <v>55.0</v>
      </c>
    </row>
    <row r="34">
      <c r="B34" s="138"/>
      <c r="C34" s="132"/>
      <c r="D34" s="142">
        <v>3.0</v>
      </c>
      <c r="E34" s="67">
        <v>2.0</v>
      </c>
      <c r="F34" s="3">
        <v>1.0</v>
      </c>
      <c r="I34" s="139"/>
      <c r="N34" s="128">
        <v>1.0</v>
      </c>
      <c r="O34" s="128">
        <v>2.0</v>
      </c>
      <c r="AD34" s="48"/>
    </row>
    <row r="35">
      <c r="B35" s="140" t="s">
        <v>109</v>
      </c>
      <c r="C35" s="59">
        <v>8.0</v>
      </c>
      <c r="D35" s="158"/>
      <c r="E35" s="67">
        <v>51.0</v>
      </c>
      <c r="F35" s="3">
        <v>53.0</v>
      </c>
      <c r="I35" s="139"/>
      <c r="N35" s="128">
        <v>58.0</v>
      </c>
      <c r="AD35" s="52"/>
    </row>
    <row r="36">
      <c r="B36" s="138"/>
      <c r="C36" s="132"/>
      <c r="D36" s="158"/>
      <c r="E36" s="67">
        <v>1.0</v>
      </c>
      <c r="F36" s="3">
        <v>1.0</v>
      </c>
      <c r="I36" s="139"/>
      <c r="N36" s="128">
        <v>1.0</v>
      </c>
      <c r="AD36" s="48"/>
    </row>
    <row r="37">
      <c r="B37" s="140" t="s">
        <v>109</v>
      </c>
      <c r="C37" s="59">
        <v>8.0</v>
      </c>
      <c r="D37" s="158"/>
      <c r="E37" s="67">
        <v>52.0</v>
      </c>
      <c r="F37" s="153">
        <v>53.5</v>
      </c>
      <c r="I37" s="139"/>
      <c r="N37" s="128">
        <v>59.0</v>
      </c>
      <c r="AD37" s="48"/>
    </row>
    <row r="38">
      <c r="B38" s="138"/>
      <c r="C38" s="132"/>
      <c r="D38" s="158"/>
      <c r="E38" s="67">
        <v>1.0</v>
      </c>
      <c r="F38" s="153">
        <v>1.0</v>
      </c>
      <c r="I38" s="139"/>
      <c r="N38" s="128">
        <v>1.0</v>
      </c>
      <c r="AC38" s="165"/>
      <c r="AD38" s="52"/>
    </row>
    <row r="39">
      <c r="B39" s="140" t="s">
        <v>109</v>
      </c>
      <c r="C39" s="59">
        <v>8.0</v>
      </c>
      <c r="D39" s="158"/>
      <c r="E39" s="142">
        <v>53.0</v>
      </c>
      <c r="I39" s="139"/>
      <c r="AC39" s="165"/>
      <c r="AD39" s="165"/>
      <c r="AE39" s="165"/>
      <c r="AF39" s="165"/>
      <c r="AG39" s="165"/>
    </row>
    <row r="40">
      <c r="B40" s="154"/>
      <c r="C40" s="155"/>
      <c r="D40" s="159"/>
      <c r="E40" s="156">
        <v>1.0</v>
      </c>
      <c r="F40" s="166"/>
      <c r="G40" s="166"/>
      <c r="H40" s="166"/>
      <c r="I40" s="149"/>
      <c r="AC40" s="165"/>
      <c r="AD40" s="165"/>
      <c r="AE40" s="165"/>
      <c r="AF40" s="165"/>
      <c r="AG40" s="165"/>
    </row>
    <row r="41">
      <c r="B41" s="167" t="s">
        <v>56</v>
      </c>
      <c r="C41" s="134">
        <v>8.0</v>
      </c>
      <c r="D41" s="168"/>
      <c r="E41" s="168"/>
      <c r="F41" s="136">
        <v>52.0</v>
      </c>
      <c r="G41" s="160">
        <v>51.0</v>
      </c>
      <c r="H41" s="160">
        <v>50.0</v>
      </c>
      <c r="I41" s="161">
        <v>40.0</v>
      </c>
      <c r="J41" s="169">
        <v>50.0</v>
      </c>
      <c r="K41" s="3">
        <v>40.0</v>
      </c>
      <c r="L41" s="3">
        <v>40.0</v>
      </c>
      <c r="M41" s="3">
        <v>40.0</v>
      </c>
      <c r="N41" s="3">
        <v>60.0</v>
      </c>
      <c r="O41" s="128">
        <v>58.0</v>
      </c>
      <c r="P41" s="3">
        <v>40.0</v>
      </c>
      <c r="S41" s="3">
        <v>40.0</v>
      </c>
      <c r="W41" s="3">
        <v>40.0</v>
      </c>
      <c r="AC41" s="165"/>
      <c r="AD41" s="165"/>
      <c r="AE41" s="165"/>
      <c r="AF41" s="165"/>
      <c r="AG41" s="165"/>
    </row>
    <row r="42">
      <c r="B42" s="170"/>
      <c r="C42" s="132"/>
      <c r="D42" s="158"/>
      <c r="E42" s="158"/>
      <c r="F42" s="3">
        <v>1.0</v>
      </c>
      <c r="G42" s="128">
        <v>3.0</v>
      </c>
      <c r="H42" s="128">
        <v>4.0</v>
      </c>
      <c r="I42" s="141">
        <v>4.0</v>
      </c>
      <c r="J42" s="169">
        <v>7.0</v>
      </c>
      <c r="K42" s="3">
        <v>4.0</v>
      </c>
      <c r="L42" s="3">
        <v>4.0</v>
      </c>
      <c r="M42" s="3">
        <v>4.0</v>
      </c>
      <c r="N42" s="3">
        <v>1.0</v>
      </c>
      <c r="O42" s="128">
        <v>3.0</v>
      </c>
      <c r="P42" s="3">
        <v>4.0</v>
      </c>
      <c r="S42" s="3">
        <v>4.0</v>
      </c>
      <c r="W42" s="3">
        <v>4.0</v>
      </c>
      <c r="AC42" s="165"/>
      <c r="AD42" s="165"/>
      <c r="AE42" s="165"/>
      <c r="AF42" s="165"/>
      <c r="AG42" s="165"/>
    </row>
    <row r="43">
      <c r="B43" s="170" t="s">
        <v>56</v>
      </c>
      <c r="C43" s="59">
        <v>8.0</v>
      </c>
      <c r="D43" s="158"/>
      <c r="E43" s="158"/>
      <c r="F43" s="3">
        <v>53.0</v>
      </c>
      <c r="G43" s="128">
        <v>53.0</v>
      </c>
      <c r="H43" s="128">
        <v>54.0</v>
      </c>
      <c r="I43" s="141">
        <v>50.0</v>
      </c>
      <c r="J43" s="128">
        <v>54.0</v>
      </c>
      <c r="K43" s="3">
        <v>50.0</v>
      </c>
      <c r="L43" s="3">
        <v>50.0</v>
      </c>
      <c r="M43" s="3">
        <v>50.0</v>
      </c>
      <c r="N43" s="128">
        <v>47.0</v>
      </c>
      <c r="O43" s="128">
        <v>50.0</v>
      </c>
      <c r="P43" s="3">
        <v>50.0</v>
      </c>
      <c r="S43" s="3">
        <v>50.0</v>
      </c>
      <c r="W43" s="3">
        <v>50.0</v>
      </c>
      <c r="AC43" s="165"/>
      <c r="AD43" s="165"/>
      <c r="AE43" s="165"/>
      <c r="AF43" s="165"/>
      <c r="AG43" s="165"/>
    </row>
    <row r="44">
      <c r="B44" s="170"/>
      <c r="C44" s="132"/>
      <c r="D44" s="158"/>
      <c r="E44" s="158"/>
      <c r="F44" s="3">
        <v>1.0</v>
      </c>
      <c r="G44" s="128">
        <v>2.0</v>
      </c>
      <c r="H44" s="128">
        <v>2.0</v>
      </c>
      <c r="I44" s="141">
        <v>3.0</v>
      </c>
      <c r="J44" s="128">
        <v>3.0</v>
      </c>
      <c r="K44" s="3">
        <v>2.0</v>
      </c>
      <c r="L44" s="3">
        <v>2.0</v>
      </c>
      <c r="M44" s="3">
        <v>2.0</v>
      </c>
      <c r="N44" s="128">
        <v>12.0</v>
      </c>
      <c r="O44" s="128">
        <v>9.0</v>
      </c>
      <c r="P44" s="3">
        <v>2.0</v>
      </c>
      <c r="S44" s="3">
        <v>2.0</v>
      </c>
      <c r="W44" s="3">
        <v>2.0</v>
      </c>
      <c r="AC44" s="165"/>
      <c r="AD44" s="165"/>
      <c r="AE44" s="165"/>
      <c r="AF44" s="165"/>
      <c r="AG44" s="165"/>
    </row>
    <row r="45">
      <c r="B45" s="170" t="s">
        <v>56</v>
      </c>
      <c r="C45" s="59">
        <v>8.0</v>
      </c>
      <c r="D45" s="158"/>
      <c r="E45" s="158"/>
      <c r="F45" s="128">
        <v>54.0</v>
      </c>
      <c r="G45" s="128">
        <v>55.0</v>
      </c>
      <c r="H45" s="128">
        <v>57.0</v>
      </c>
      <c r="I45" s="141">
        <v>54.0</v>
      </c>
      <c r="J45" s="128">
        <v>56.0</v>
      </c>
      <c r="K45" s="3">
        <v>55.0</v>
      </c>
      <c r="L45" s="128">
        <v>57.0</v>
      </c>
      <c r="M45" s="3">
        <v>58.0</v>
      </c>
      <c r="N45" s="128">
        <v>42.0</v>
      </c>
      <c r="O45" s="128">
        <v>44.0</v>
      </c>
      <c r="P45" s="3">
        <v>56.0</v>
      </c>
      <c r="S45" s="3">
        <v>56.0</v>
      </c>
      <c r="W45" s="3">
        <v>56.0</v>
      </c>
      <c r="AC45" s="165"/>
      <c r="AD45" s="165"/>
      <c r="AE45" s="165"/>
      <c r="AF45" s="165"/>
      <c r="AG45" s="165"/>
    </row>
    <row r="46">
      <c r="B46" s="170"/>
      <c r="C46" s="132"/>
      <c r="D46" s="158"/>
      <c r="E46" s="158"/>
      <c r="F46" s="128">
        <v>1.0</v>
      </c>
      <c r="G46" s="128">
        <v>1.0</v>
      </c>
      <c r="H46" s="128">
        <v>1.0</v>
      </c>
      <c r="I46" s="141">
        <v>1.0</v>
      </c>
      <c r="J46" s="128">
        <v>2.0</v>
      </c>
      <c r="K46" s="3">
        <v>1.0</v>
      </c>
      <c r="L46" s="128">
        <v>4.0</v>
      </c>
      <c r="M46" s="3">
        <v>1.0</v>
      </c>
      <c r="N46" s="128">
        <v>17.0</v>
      </c>
      <c r="O46" s="128">
        <v>14.0</v>
      </c>
      <c r="P46" s="3">
        <v>1.0</v>
      </c>
      <c r="S46" s="3">
        <v>1.0</v>
      </c>
      <c r="W46" s="3">
        <v>1.0</v>
      </c>
      <c r="AC46" s="165"/>
      <c r="AD46" s="165"/>
      <c r="AE46" s="165"/>
      <c r="AF46" s="165"/>
      <c r="AG46" s="165"/>
    </row>
    <row r="47">
      <c r="B47" s="170" t="s">
        <v>56</v>
      </c>
      <c r="C47" s="59">
        <v>8.0</v>
      </c>
      <c r="D47" s="158"/>
      <c r="E47" s="158"/>
      <c r="F47" s="128"/>
      <c r="G47" s="128">
        <v>55.5</v>
      </c>
      <c r="H47" s="128">
        <v>57.5</v>
      </c>
      <c r="I47" s="162">
        <v>58.0</v>
      </c>
      <c r="K47" s="128">
        <v>60.0</v>
      </c>
      <c r="L47" s="128">
        <v>59.0</v>
      </c>
      <c r="M47" s="67">
        <v>57.5</v>
      </c>
      <c r="P47" s="3">
        <v>60.0</v>
      </c>
      <c r="S47" s="3">
        <v>60.0</v>
      </c>
      <c r="W47" s="3">
        <v>60.0</v>
      </c>
      <c r="AC47" s="165"/>
      <c r="AD47" s="165"/>
      <c r="AE47" s="165"/>
      <c r="AF47" s="165"/>
      <c r="AG47" s="165"/>
    </row>
    <row r="48">
      <c r="B48" s="170"/>
      <c r="C48" s="132"/>
      <c r="D48" s="158"/>
      <c r="E48" s="158"/>
      <c r="F48" s="128"/>
      <c r="G48" s="128">
        <v>1.0</v>
      </c>
      <c r="H48" s="128">
        <v>1.0</v>
      </c>
      <c r="I48" s="162">
        <v>1.0</v>
      </c>
      <c r="K48" s="128">
        <v>1.0</v>
      </c>
      <c r="L48" s="128">
        <v>2.0</v>
      </c>
      <c r="M48" s="67">
        <v>1.0</v>
      </c>
      <c r="P48" s="3">
        <v>1.0</v>
      </c>
      <c r="S48" s="3">
        <v>1.0</v>
      </c>
      <c r="W48" s="3">
        <v>1.0</v>
      </c>
      <c r="AC48" s="165"/>
      <c r="AD48" s="165"/>
      <c r="AE48" s="165"/>
      <c r="AF48" s="165"/>
      <c r="AG48" s="165"/>
    </row>
    <row r="49">
      <c r="A49" s="158"/>
      <c r="B49" s="170" t="s">
        <v>56</v>
      </c>
      <c r="C49" s="59">
        <v>8.0</v>
      </c>
      <c r="D49" s="158"/>
      <c r="E49" s="158"/>
      <c r="F49" s="158"/>
      <c r="G49" s="142">
        <v>56.0</v>
      </c>
      <c r="H49" s="158"/>
      <c r="I49" s="163">
        <v>59.0</v>
      </c>
      <c r="J49" s="158"/>
      <c r="K49" s="142">
        <v>61.0</v>
      </c>
      <c r="L49" s="142">
        <v>46.0</v>
      </c>
      <c r="M49" s="128">
        <v>42.0</v>
      </c>
      <c r="N49" s="158"/>
      <c r="O49" s="158"/>
      <c r="P49" s="142">
        <v>62.0</v>
      </c>
      <c r="Q49" s="158"/>
      <c r="R49" s="158"/>
      <c r="S49" s="67">
        <v>62.0</v>
      </c>
      <c r="T49" s="158"/>
      <c r="U49" s="158"/>
      <c r="V49" s="158"/>
      <c r="W49" s="143">
        <v>63.5</v>
      </c>
      <c r="X49" s="158"/>
      <c r="Y49" s="158"/>
      <c r="Z49" s="158"/>
      <c r="AA49" s="158"/>
      <c r="AB49" s="158"/>
      <c r="AC49" s="158"/>
      <c r="AD49" s="158"/>
      <c r="AE49" s="158"/>
      <c r="AF49" s="158"/>
      <c r="AG49" s="158"/>
      <c r="AH49" s="158"/>
      <c r="AI49" s="158"/>
      <c r="AJ49" s="158"/>
      <c r="AK49" s="158"/>
      <c r="AL49" s="158"/>
      <c r="AM49" s="158"/>
      <c r="AN49" s="158"/>
    </row>
    <row r="50">
      <c r="A50" s="158"/>
      <c r="B50" s="171"/>
      <c r="C50" s="155"/>
      <c r="D50" s="159"/>
      <c r="E50" s="159"/>
      <c r="F50" s="159"/>
      <c r="G50" s="156">
        <v>1.0</v>
      </c>
      <c r="H50" s="159"/>
      <c r="I50" s="164">
        <v>1.0</v>
      </c>
      <c r="J50" s="158"/>
      <c r="K50" s="142">
        <v>1.0</v>
      </c>
      <c r="L50" s="142">
        <v>12.0</v>
      </c>
      <c r="M50" s="128">
        <v>16.0</v>
      </c>
      <c r="N50" s="158"/>
      <c r="O50" s="158"/>
      <c r="P50" s="142">
        <v>1.0</v>
      </c>
      <c r="Q50" s="158"/>
      <c r="R50" s="158"/>
      <c r="S50" s="67">
        <v>1.0</v>
      </c>
      <c r="T50" s="158"/>
      <c r="U50" s="158"/>
      <c r="V50" s="158"/>
      <c r="W50" s="143">
        <v>1.0</v>
      </c>
      <c r="X50" s="158"/>
      <c r="Y50" s="158"/>
      <c r="Z50" s="158"/>
      <c r="AA50" s="158"/>
      <c r="AB50" s="158"/>
      <c r="AC50" s="158"/>
      <c r="AD50" s="158"/>
      <c r="AE50" s="158"/>
      <c r="AF50" s="158"/>
      <c r="AG50" s="158"/>
      <c r="AH50" s="158"/>
      <c r="AI50" s="158"/>
      <c r="AJ50" s="158"/>
      <c r="AK50" s="158"/>
      <c r="AL50" s="158"/>
      <c r="AM50" s="158"/>
      <c r="AN50" s="158"/>
    </row>
    <row r="51">
      <c r="B51" s="170" t="s">
        <v>56</v>
      </c>
      <c r="C51" s="59">
        <v>8.0</v>
      </c>
      <c r="D51" s="158"/>
      <c r="E51" s="158"/>
      <c r="I51" s="128"/>
      <c r="K51" s="169">
        <v>53.0</v>
      </c>
      <c r="M51" s="128">
        <v>47.0</v>
      </c>
      <c r="P51" s="143">
        <v>63.0</v>
      </c>
      <c r="S51" s="128">
        <v>54.0</v>
      </c>
      <c r="W51" s="143">
        <v>64.0</v>
      </c>
      <c r="AL51" s="132"/>
      <c r="AM51" s="132"/>
      <c r="AN51" s="132"/>
    </row>
    <row r="52">
      <c r="B52" s="171"/>
      <c r="C52" s="155"/>
      <c r="D52" s="158"/>
      <c r="E52" s="158"/>
      <c r="I52" s="128"/>
      <c r="K52" s="169">
        <v>6.0</v>
      </c>
      <c r="M52" s="128">
        <v>8.0</v>
      </c>
      <c r="P52" s="143">
        <v>1.0</v>
      </c>
      <c r="S52" s="128">
        <v>6.0</v>
      </c>
      <c r="W52" s="143">
        <v>1.0</v>
      </c>
      <c r="AL52" s="132"/>
      <c r="AM52" s="132"/>
      <c r="AN52" s="132"/>
    </row>
    <row r="53">
      <c r="B53" s="140" t="s">
        <v>56</v>
      </c>
      <c r="C53" s="59">
        <v>8.0</v>
      </c>
      <c r="D53" s="158"/>
      <c r="E53" s="158"/>
      <c r="I53" s="128"/>
      <c r="P53" s="128"/>
      <c r="T53" s="128"/>
      <c r="V53" s="128"/>
      <c r="W53" s="143">
        <v>64.5</v>
      </c>
      <c r="AL53" s="132"/>
      <c r="AM53" s="132"/>
      <c r="AN53" s="132"/>
    </row>
    <row r="54">
      <c r="B54" s="140"/>
      <c r="C54" s="59"/>
      <c r="D54" s="158"/>
      <c r="E54" s="158"/>
      <c r="I54" s="128"/>
      <c r="P54" s="128"/>
      <c r="T54" s="128"/>
      <c r="V54" s="128"/>
      <c r="W54" s="143">
        <v>1.0</v>
      </c>
      <c r="AL54" s="132"/>
      <c r="AM54" s="132"/>
      <c r="AN54" s="132"/>
    </row>
    <row r="55">
      <c r="B55" s="140" t="s">
        <v>133</v>
      </c>
      <c r="C55" s="59">
        <v>8.0</v>
      </c>
      <c r="D55" s="158"/>
      <c r="E55" s="158"/>
      <c r="I55" s="128"/>
      <c r="P55" s="128"/>
      <c r="T55" s="128">
        <v>30.0</v>
      </c>
      <c r="V55" s="128">
        <v>30.0</v>
      </c>
      <c r="AL55" s="132"/>
      <c r="AM55" s="132"/>
      <c r="AN55" s="132"/>
    </row>
    <row r="56">
      <c r="B56" s="140"/>
      <c r="C56" s="59"/>
      <c r="D56" s="158"/>
      <c r="E56" s="158"/>
      <c r="I56" s="128"/>
      <c r="P56" s="128"/>
      <c r="T56" s="128">
        <v>6.0</v>
      </c>
      <c r="V56" s="128">
        <v>8.0</v>
      </c>
      <c r="AL56" s="132"/>
      <c r="AM56" s="132"/>
      <c r="AN56" s="132"/>
    </row>
    <row r="57">
      <c r="B57" s="140" t="s">
        <v>133</v>
      </c>
      <c r="C57" s="59">
        <v>8.0</v>
      </c>
      <c r="D57" s="158"/>
      <c r="E57" s="158"/>
      <c r="I57" s="128"/>
      <c r="P57" s="128"/>
      <c r="T57" s="128">
        <v>40.0</v>
      </c>
      <c r="V57" s="3">
        <v>40.0</v>
      </c>
      <c r="AL57" s="132"/>
      <c r="AM57" s="132"/>
      <c r="AN57" s="132"/>
    </row>
    <row r="58">
      <c r="B58" s="140"/>
      <c r="C58" s="59"/>
      <c r="D58" s="158"/>
      <c r="E58" s="158"/>
      <c r="I58" s="128"/>
      <c r="P58" s="128"/>
      <c r="T58" s="128">
        <v>3.0</v>
      </c>
      <c r="V58" s="3">
        <v>3.0</v>
      </c>
      <c r="AL58" s="132"/>
      <c r="AM58" s="132"/>
      <c r="AN58" s="132"/>
    </row>
    <row r="59">
      <c r="B59" s="140" t="s">
        <v>133</v>
      </c>
      <c r="C59" s="59">
        <v>8.0</v>
      </c>
      <c r="D59" s="158"/>
      <c r="E59" s="158"/>
      <c r="I59" s="128"/>
      <c r="P59" s="128"/>
      <c r="T59" s="128">
        <v>44.0</v>
      </c>
      <c r="V59" s="3">
        <v>50.0</v>
      </c>
      <c r="AL59" s="132"/>
      <c r="AM59" s="132"/>
      <c r="AN59" s="132"/>
    </row>
    <row r="60">
      <c r="B60" s="140"/>
      <c r="C60" s="59"/>
      <c r="D60" s="158"/>
      <c r="E60" s="158"/>
      <c r="I60" s="128"/>
      <c r="P60" s="128"/>
      <c r="T60" s="128">
        <v>2.0</v>
      </c>
      <c r="V60" s="3">
        <v>1.0</v>
      </c>
      <c r="AL60" s="132"/>
      <c r="AM60" s="132"/>
      <c r="AN60" s="132"/>
    </row>
    <row r="61">
      <c r="B61" s="140" t="s">
        <v>133</v>
      </c>
      <c r="C61" s="59">
        <v>8.0</v>
      </c>
      <c r="D61" s="158"/>
      <c r="E61" s="158"/>
      <c r="I61" s="128"/>
      <c r="P61" s="128"/>
      <c r="T61" s="128">
        <v>48.0</v>
      </c>
      <c r="V61" s="3">
        <v>54.0</v>
      </c>
      <c r="AL61" s="132"/>
      <c r="AM61" s="132"/>
      <c r="AN61" s="132"/>
    </row>
    <row r="62">
      <c r="B62" s="140"/>
      <c r="C62" s="59"/>
      <c r="D62" s="158"/>
      <c r="E62" s="158"/>
      <c r="I62" s="128"/>
      <c r="P62" s="128"/>
      <c r="T62" s="128">
        <v>1.0</v>
      </c>
      <c r="V62" s="3">
        <v>1.0</v>
      </c>
      <c r="AL62" s="132"/>
      <c r="AM62" s="132"/>
      <c r="AN62" s="132"/>
    </row>
    <row r="63">
      <c r="B63" s="140" t="s">
        <v>133</v>
      </c>
      <c r="C63" s="59">
        <v>8.0</v>
      </c>
      <c r="D63" s="158"/>
      <c r="E63" s="158"/>
      <c r="I63" s="128"/>
      <c r="P63" s="128"/>
      <c r="T63" s="128">
        <v>50.0</v>
      </c>
      <c r="V63" s="143">
        <v>58.0</v>
      </c>
      <c r="AL63" s="132"/>
      <c r="AM63" s="132"/>
      <c r="AN63" s="132"/>
    </row>
    <row r="64">
      <c r="B64" s="140"/>
      <c r="C64" s="59"/>
      <c r="D64" s="158"/>
      <c r="E64" s="158"/>
      <c r="I64" s="128"/>
      <c r="P64" s="128"/>
      <c r="T64" s="128">
        <v>1.0</v>
      </c>
      <c r="V64" s="143">
        <v>1.0</v>
      </c>
      <c r="AL64" s="132"/>
      <c r="AM64" s="132"/>
      <c r="AN64" s="132"/>
    </row>
    <row r="65">
      <c r="B65" s="140" t="s">
        <v>133</v>
      </c>
      <c r="C65" s="59">
        <v>8.0</v>
      </c>
      <c r="D65" s="158"/>
      <c r="E65" s="158"/>
      <c r="I65" s="128"/>
      <c r="P65" s="128"/>
      <c r="T65" s="128">
        <v>52.0</v>
      </c>
      <c r="V65" s="143">
        <v>60.0</v>
      </c>
      <c r="AL65" s="132"/>
      <c r="AM65" s="132"/>
      <c r="AN65" s="132"/>
    </row>
    <row r="66">
      <c r="B66" s="140"/>
      <c r="C66" s="59"/>
      <c r="D66" s="158"/>
      <c r="E66" s="158"/>
      <c r="I66" s="128"/>
      <c r="P66" s="128"/>
      <c r="T66" s="128">
        <v>1.0</v>
      </c>
      <c r="V66" s="143">
        <v>1.0</v>
      </c>
      <c r="AL66" s="132"/>
      <c r="AM66" s="132"/>
      <c r="AN66" s="132"/>
    </row>
    <row r="67">
      <c r="B67" s="140" t="s">
        <v>133</v>
      </c>
      <c r="C67" s="59">
        <v>8.0</v>
      </c>
      <c r="D67" s="158"/>
      <c r="E67" s="158"/>
      <c r="I67" s="128"/>
      <c r="P67" s="128"/>
      <c r="T67" s="128">
        <v>54.0</v>
      </c>
      <c r="AL67" s="132"/>
      <c r="AM67" s="132"/>
      <c r="AN67" s="132"/>
    </row>
    <row r="68">
      <c r="B68" s="140"/>
      <c r="C68" s="59"/>
      <c r="D68" s="158"/>
      <c r="E68" s="158"/>
      <c r="I68" s="128"/>
      <c r="P68" s="128"/>
      <c r="T68" s="128">
        <v>1.0</v>
      </c>
      <c r="AL68" s="132"/>
      <c r="AM68" s="132"/>
      <c r="AN68" s="132"/>
    </row>
    <row r="69">
      <c r="B69" s="140" t="s">
        <v>133</v>
      </c>
      <c r="C69" s="59">
        <v>8.0</v>
      </c>
      <c r="D69" s="158"/>
      <c r="E69" s="158"/>
      <c r="I69" s="128"/>
      <c r="P69" s="128"/>
      <c r="T69" s="143">
        <v>56.0</v>
      </c>
      <c r="AL69" s="132"/>
      <c r="AM69" s="132"/>
      <c r="AN69" s="132"/>
    </row>
    <row r="70">
      <c r="B70" s="140"/>
      <c r="C70" s="59"/>
      <c r="D70" s="158"/>
      <c r="E70" s="158"/>
      <c r="I70" s="128"/>
      <c r="P70" s="128"/>
      <c r="T70" s="143">
        <v>1.0</v>
      </c>
      <c r="AL70" s="132"/>
      <c r="AM70" s="132"/>
      <c r="AN70" s="132"/>
    </row>
    <row r="71">
      <c r="B71" s="133" t="s">
        <v>107</v>
      </c>
      <c r="C71" s="134">
        <v>8.0</v>
      </c>
      <c r="D71" s="168"/>
      <c r="E71" s="168"/>
      <c r="F71" s="172"/>
      <c r="G71" s="172"/>
      <c r="H71" s="172"/>
      <c r="I71" s="160">
        <v>30.0</v>
      </c>
      <c r="J71" s="172"/>
      <c r="K71" s="172"/>
      <c r="L71" s="172"/>
      <c r="M71" s="172"/>
      <c r="N71" s="172"/>
      <c r="O71" s="172"/>
      <c r="P71" s="160">
        <v>30.0</v>
      </c>
      <c r="Q71" s="172"/>
      <c r="R71" s="172"/>
      <c r="S71" s="172"/>
      <c r="T71" s="128">
        <v>52.0</v>
      </c>
      <c r="U71" s="128">
        <v>30.0</v>
      </c>
      <c r="V71" s="143">
        <v>57.0</v>
      </c>
      <c r="Y71" s="172"/>
      <c r="Z71" s="172"/>
      <c r="AA71" s="172"/>
      <c r="AB71" s="172"/>
      <c r="AC71" s="172"/>
      <c r="AD71" s="172"/>
      <c r="AE71" s="137"/>
      <c r="AL71" s="132"/>
      <c r="AM71" s="132"/>
      <c r="AN71" s="132"/>
    </row>
    <row r="72">
      <c r="B72" s="154"/>
      <c r="C72" s="155"/>
      <c r="D72" s="159"/>
      <c r="E72" s="159"/>
      <c r="F72" s="166"/>
      <c r="G72" s="166"/>
      <c r="H72" s="166"/>
      <c r="I72" s="157">
        <v>3.0</v>
      </c>
      <c r="J72" s="166"/>
      <c r="K72" s="166"/>
      <c r="L72" s="166"/>
      <c r="M72" s="166"/>
      <c r="N72" s="166"/>
      <c r="O72" s="166"/>
      <c r="P72" s="157">
        <v>5.0</v>
      </c>
      <c r="Q72" s="166"/>
      <c r="R72" s="166"/>
      <c r="S72" s="166"/>
      <c r="T72" s="128">
        <v>1.0</v>
      </c>
      <c r="U72" s="128">
        <v>6.0</v>
      </c>
      <c r="V72" s="143">
        <v>1.0</v>
      </c>
      <c r="Y72" s="166"/>
      <c r="Z72" s="166"/>
      <c r="AA72" s="166"/>
      <c r="AB72" s="166"/>
      <c r="AC72" s="166"/>
      <c r="AD72" s="166"/>
      <c r="AE72" s="149"/>
    </row>
    <row r="73">
      <c r="B73" s="133" t="s">
        <v>107</v>
      </c>
      <c r="C73" s="134">
        <v>8.0</v>
      </c>
      <c r="D73" s="158"/>
      <c r="E73" s="158"/>
      <c r="I73" s="128"/>
      <c r="P73" s="128">
        <v>40.0</v>
      </c>
      <c r="U73" s="128">
        <v>40.0</v>
      </c>
      <c r="V73" s="143">
        <v>58.0</v>
      </c>
      <c r="W73" s="3">
        <v>40.0</v>
      </c>
    </row>
    <row r="74">
      <c r="B74" s="132"/>
      <c r="C74" s="132"/>
      <c r="D74" s="158"/>
      <c r="E74" s="158"/>
      <c r="I74" s="128"/>
      <c r="P74" s="128">
        <v>3.0</v>
      </c>
      <c r="U74" s="128">
        <v>4.0</v>
      </c>
      <c r="V74" s="143">
        <v>1.0</v>
      </c>
      <c r="W74" s="3">
        <v>1.0</v>
      </c>
    </row>
    <row r="75">
      <c r="B75" s="133" t="s">
        <v>107</v>
      </c>
      <c r="C75" s="134">
        <v>8.0</v>
      </c>
      <c r="D75" s="158"/>
      <c r="E75" s="158"/>
      <c r="I75" s="128"/>
      <c r="P75" s="128">
        <v>44.0</v>
      </c>
      <c r="U75" s="3">
        <v>50.0</v>
      </c>
      <c r="W75" s="3">
        <v>50.0</v>
      </c>
    </row>
    <row r="76">
      <c r="B76" s="132"/>
      <c r="C76" s="132"/>
      <c r="D76" s="158"/>
      <c r="E76" s="158"/>
      <c r="I76" s="128"/>
      <c r="P76" s="128">
        <v>1.0</v>
      </c>
      <c r="U76" s="3">
        <v>1.0</v>
      </c>
      <c r="W76" s="3">
        <v>1.0</v>
      </c>
    </row>
    <row r="77">
      <c r="B77" s="133" t="s">
        <v>107</v>
      </c>
      <c r="C77" s="134">
        <v>8.0</v>
      </c>
      <c r="D77" s="158"/>
      <c r="E77" s="158"/>
      <c r="I77" s="128"/>
      <c r="P77" s="128">
        <v>48.0</v>
      </c>
      <c r="U77" s="128">
        <v>53.0</v>
      </c>
      <c r="W77" s="3">
        <v>54.0</v>
      </c>
    </row>
    <row r="78">
      <c r="B78" s="132"/>
      <c r="C78" s="132"/>
      <c r="D78" s="158"/>
      <c r="E78" s="158"/>
      <c r="I78" s="128"/>
      <c r="P78" s="128">
        <v>1.0</v>
      </c>
      <c r="U78" s="128">
        <v>1.0</v>
      </c>
      <c r="W78" s="3">
        <v>1.0</v>
      </c>
    </row>
    <row r="79">
      <c r="B79" s="133" t="s">
        <v>107</v>
      </c>
      <c r="C79" s="134">
        <v>8.0</v>
      </c>
      <c r="D79" s="158"/>
      <c r="E79" s="158"/>
      <c r="I79" s="128"/>
      <c r="P79" s="128">
        <v>50.0</v>
      </c>
      <c r="U79" s="128">
        <v>54.0</v>
      </c>
      <c r="W79" s="143">
        <v>58.5</v>
      </c>
    </row>
    <row r="80">
      <c r="B80" s="132"/>
      <c r="C80" s="132"/>
      <c r="D80" s="158"/>
      <c r="E80" s="158"/>
      <c r="I80" s="128"/>
      <c r="P80" s="128">
        <v>1.0</v>
      </c>
      <c r="U80" s="128">
        <v>1.0</v>
      </c>
      <c r="W80" s="143">
        <v>1.0</v>
      </c>
    </row>
    <row r="81">
      <c r="B81" s="133" t="s">
        <v>107</v>
      </c>
      <c r="C81" s="134">
        <v>8.0</v>
      </c>
      <c r="D81" s="158"/>
      <c r="E81" s="158"/>
      <c r="I81" s="128"/>
      <c r="P81" s="128">
        <v>51.0</v>
      </c>
      <c r="T81" s="128"/>
      <c r="U81" s="128">
        <v>55.0</v>
      </c>
    </row>
    <row r="82">
      <c r="B82" s="132"/>
      <c r="C82" s="132"/>
      <c r="D82" s="158"/>
      <c r="E82" s="158"/>
      <c r="I82" s="128"/>
      <c r="P82" s="128">
        <v>1.0</v>
      </c>
      <c r="T82" s="128"/>
      <c r="U82" s="128">
        <v>1.0</v>
      </c>
    </row>
    <row r="83">
      <c r="B83" s="133" t="s">
        <v>107</v>
      </c>
      <c r="C83" s="134">
        <v>8.0</v>
      </c>
      <c r="D83" s="158"/>
      <c r="E83" s="158"/>
      <c r="I83" s="128"/>
      <c r="P83" s="128"/>
      <c r="T83" s="128"/>
      <c r="U83" s="143">
        <v>55.5</v>
      </c>
    </row>
    <row r="84">
      <c r="B84" s="132"/>
      <c r="C84" s="132"/>
      <c r="D84" s="158"/>
      <c r="E84" s="158"/>
      <c r="I84" s="128"/>
      <c r="P84" s="128"/>
      <c r="T84" s="128"/>
      <c r="U84" s="143">
        <v>1.0</v>
      </c>
    </row>
    <row r="85">
      <c r="B85" s="133" t="s">
        <v>107</v>
      </c>
      <c r="C85" s="134">
        <v>8.0</v>
      </c>
      <c r="D85" s="158"/>
      <c r="E85" s="158"/>
      <c r="I85" s="128"/>
      <c r="P85" s="128"/>
      <c r="T85" s="128"/>
      <c r="U85" s="143">
        <v>56.0</v>
      </c>
    </row>
    <row r="86">
      <c r="B86" s="132"/>
      <c r="C86" s="132"/>
      <c r="D86" s="158"/>
      <c r="E86" s="158"/>
      <c r="I86" s="128"/>
      <c r="P86" s="128"/>
      <c r="T86" s="128"/>
      <c r="U86" s="143">
        <v>1.0</v>
      </c>
    </row>
    <row r="87">
      <c r="B87" s="59" t="s">
        <v>70</v>
      </c>
      <c r="C87" s="59">
        <v>8.0</v>
      </c>
      <c r="D87" s="158"/>
      <c r="E87" s="158"/>
      <c r="I87" s="128">
        <v>30.0</v>
      </c>
      <c r="J87" s="128">
        <v>34.0</v>
      </c>
      <c r="K87" s="3">
        <v>30.0</v>
      </c>
      <c r="L87" s="3">
        <v>30.0</v>
      </c>
      <c r="Q87" s="128">
        <v>41.0</v>
      </c>
      <c r="R87" s="3">
        <v>40.0</v>
      </c>
      <c r="T87" s="136">
        <v>40.0</v>
      </c>
      <c r="V87" s="3">
        <v>40.0</v>
      </c>
    </row>
    <row r="88">
      <c r="B88" s="132"/>
      <c r="C88" s="132"/>
      <c r="D88" s="158"/>
      <c r="E88" s="158"/>
      <c r="I88" s="128">
        <v>3.0</v>
      </c>
      <c r="J88" s="128">
        <v>5.0</v>
      </c>
      <c r="K88" s="3">
        <v>3.0</v>
      </c>
      <c r="L88" s="3">
        <v>3.0</v>
      </c>
      <c r="Q88" s="128">
        <v>8.0</v>
      </c>
      <c r="R88" s="3">
        <v>4.0</v>
      </c>
      <c r="T88" s="147">
        <v>6.0</v>
      </c>
      <c r="V88" s="3">
        <v>3.0</v>
      </c>
    </row>
    <row r="89">
      <c r="B89" s="59" t="s">
        <v>70</v>
      </c>
      <c r="C89" s="59">
        <v>8.0</v>
      </c>
      <c r="D89" s="158"/>
      <c r="E89" s="158"/>
      <c r="I89" s="128">
        <v>34.0</v>
      </c>
      <c r="J89" s="128">
        <v>38.0</v>
      </c>
      <c r="K89" s="3">
        <v>40.0</v>
      </c>
      <c r="L89" s="3">
        <v>40.0</v>
      </c>
      <c r="Q89" s="128">
        <v>45.0</v>
      </c>
      <c r="R89" s="128">
        <v>50.0</v>
      </c>
      <c r="T89" s="3">
        <v>40.0</v>
      </c>
      <c r="V89" s="3">
        <v>44.0</v>
      </c>
    </row>
    <row r="90">
      <c r="B90" s="132"/>
      <c r="C90" s="132"/>
      <c r="D90" s="158"/>
      <c r="E90" s="158"/>
      <c r="I90" s="128">
        <v>3.0</v>
      </c>
      <c r="J90" s="128">
        <v>4.0</v>
      </c>
      <c r="K90" s="3">
        <v>3.0</v>
      </c>
      <c r="L90" s="3">
        <v>3.0</v>
      </c>
      <c r="Q90" s="128">
        <v>5.0</v>
      </c>
      <c r="R90" s="128">
        <v>2.0</v>
      </c>
      <c r="T90" s="3">
        <v>6.0</v>
      </c>
      <c r="V90" s="3">
        <v>3.0</v>
      </c>
    </row>
    <row r="91">
      <c r="B91" s="59" t="s">
        <v>70</v>
      </c>
      <c r="C91" s="59">
        <v>8.0</v>
      </c>
      <c r="D91" s="158"/>
      <c r="E91" s="158"/>
      <c r="I91" s="128">
        <v>38.0</v>
      </c>
      <c r="J91" s="128">
        <v>40.0</v>
      </c>
      <c r="K91" s="128">
        <v>47.0</v>
      </c>
      <c r="L91" s="128">
        <v>49.0</v>
      </c>
      <c r="Q91" s="128">
        <v>49.0</v>
      </c>
      <c r="R91" s="143">
        <v>52.0</v>
      </c>
      <c r="T91" s="3">
        <v>40.0</v>
      </c>
      <c r="V91" s="3">
        <v>48.0</v>
      </c>
    </row>
    <row r="92">
      <c r="B92" s="132"/>
      <c r="C92" s="132"/>
      <c r="D92" s="158"/>
      <c r="E92" s="158"/>
      <c r="I92" s="128">
        <v>3.0</v>
      </c>
      <c r="J92" s="128">
        <v>5.0</v>
      </c>
      <c r="K92" s="128">
        <v>1.0</v>
      </c>
      <c r="L92" s="128">
        <v>1.0</v>
      </c>
      <c r="Q92" s="128">
        <v>2.0</v>
      </c>
      <c r="R92" s="143">
        <v>1.0</v>
      </c>
      <c r="T92" s="3">
        <v>6.0</v>
      </c>
      <c r="V92" s="3">
        <v>5.0</v>
      </c>
    </row>
    <row r="93">
      <c r="B93" s="59" t="s">
        <v>70</v>
      </c>
      <c r="C93" s="59">
        <v>8.0</v>
      </c>
      <c r="D93" s="158"/>
      <c r="E93" s="158"/>
      <c r="I93" s="128"/>
      <c r="J93" s="128">
        <v>42.0</v>
      </c>
      <c r="K93" s="128">
        <v>48.0</v>
      </c>
      <c r="L93" s="128">
        <v>40.0</v>
      </c>
      <c r="Q93" s="143">
        <v>51.0</v>
      </c>
      <c r="R93" s="143">
        <v>53.0</v>
      </c>
      <c r="V93" s="143">
        <v>54.0</v>
      </c>
    </row>
    <row r="94">
      <c r="B94" s="132"/>
      <c r="C94" s="132"/>
      <c r="D94" s="158"/>
      <c r="E94" s="158"/>
      <c r="I94" s="128"/>
      <c r="J94" s="128">
        <v>4.0</v>
      </c>
      <c r="K94" s="128">
        <v>1.0</v>
      </c>
      <c r="L94" s="128">
        <v>6.0</v>
      </c>
      <c r="Q94" s="143">
        <v>1.0</v>
      </c>
      <c r="R94" s="143">
        <v>1.0</v>
      </c>
      <c r="V94" s="143">
        <v>1.0</v>
      </c>
    </row>
    <row r="95">
      <c r="B95" s="59" t="s">
        <v>70</v>
      </c>
      <c r="C95" s="59">
        <v>8.0</v>
      </c>
      <c r="D95" s="158"/>
      <c r="E95" s="158"/>
      <c r="I95" s="128"/>
      <c r="J95" s="128">
        <v>44.0</v>
      </c>
      <c r="K95" s="128">
        <v>39.0</v>
      </c>
      <c r="V95" s="143">
        <v>55.0</v>
      </c>
    </row>
    <row r="96">
      <c r="B96" s="132"/>
      <c r="C96" s="132"/>
      <c r="D96" s="158"/>
      <c r="E96" s="158"/>
      <c r="I96" s="128"/>
      <c r="J96" s="128">
        <v>3.0</v>
      </c>
      <c r="K96" s="128">
        <v>10.0</v>
      </c>
      <c r="V96" s="143">
        <v>1.0</v>
      </c>
    </row>
    <row r="97">
      <c r="B97" s="59" t="s">
        <v>70</v>
      </c>
      <c r="C97" s="59">
        <v>8.0</v>
      </c>
      <c r="D97" s="158"/>
      <c r="E97" s="158"/>
      <c r="I97" s="128"/>
      <c r="J97" s="128">
        <v>46.0</v>
      </c>
    </row>
    <row r="98">
      <c r="B98" s="132"/>
      <c r="C98" s="132"/>
      <c r="D98" s="158"/>
      <c r="E98" s="158"/>
      <c r="I98" s="128"/>
      <c r="J98" s="128">
        <v>2.0</v>
      </c>
    </row>
    <row r="99">
      <c r="B99" s="133" t="s">
        <v>65</v>
      </c>
      <c r="C99" s="134">
        <v>8.0</v>
      </c>
      <c r="D99" s="158"/>
      <c r="E99" s="158"/>
      <c r="I99" s="128"/>
      <c r="J99" s="128"/>
      <c r="Q99" s="3">
        <v>70.0</v>
      </c>
      <c r="R99" s="3">
        <v>72.0</v>
      </c>
    </row>
    <row r="100">
      <c r="B100" s="132"/>
      <c r="C100" s="132"/>
      <c r="D100" s="158"/>
      <c r="E100" s="158"/>
      <c r="I100" s="128"/>
      <c r="J100" s="128"/>
      <c r="Q100" s="3">
        <v>3.0</v>
      </c>
      <c r="R100" s="3">
        <v>3.0</v>
      </c>
      <c r="AF100" s="132"/>
      <c r="AG100" s="132"/>
      <c r="AH100" s="132"/>
      <c r="AI100" s="132"/>
      <c r="AJ100" s="132"/>
      <c r="AK100" s="132"/>
    </row>
    <row r="101">
      <c r="B101" s="133" t="s">
        <v>65</v>
      </c>
      <c r="C101" s="134">
        <v>8.0</v>
      </c>
      <c r="D101" s="158"/>
      <c r="E101" s="158"/>
      <c r="I101" s="128"/>
      <c r="J101" s="128"/>
      <c r="Q101" s="3">
        <v>70.0</v>
      </c>
      <c r="R101" s="3">
        <v>72.0</v>
      </c>
      <c r="AF101" s="132"/>
      <c r="AG101" s="132"/>
      <c r="AH101" s="132"/>
      <c r="AI101" s="132"/>
      <c r="AJ101" s="132"/>
      <c r="AK101" s="132"/>
    </row>
    <row r="102">
      <c r="B102" s="132"/>
      <c r="C102" s="132"/>
      <c r="D102" s="158"/>
      <c r="E102" s="158"/>
      <c r="I102" s="128"/>
      <c r="J102" s="128"/>
      <c r="Q102" s="3">
        <v>3.0</v>
      </c>
      <c r="R102" s="3">
        <v>3.0</v>
      </c>
    </row>
    <row r="103">
      <c r="B103" s="133" t="s">
        <v>65</v>
      </c>
      <c r="C103" s="134">
        <v>8.0</v>
      </c>
      <c r="D103" s="158"/>
      <c r="E103" s="158"/>
      <c r="I103" s="128"/>
      <c r="J103" s="128"/>
      <c r="Q103" s="128">
        <v>70.0</v>
      </c>
      <c r="R103" s="3">
        <v>72.0</v>
      </c>
    </row>
    <row r="104">
      <c r="B104" s="132"/>
      <c r="C104" s="132"/>
      <c r="D104" s="158"/>
      <c r="E104" s="158"/>
      <c r="I104" s="128"/>
      <c r="J104" s="128"/>
      <c r="Q104" s="128">
        <v>5.0</v>
      </c>
      <c r="R104" s="3">
        <v>3.0</v>
      </c>
    </row>
    <row r="105">
      <c r="B105" s="126" t="s">
        <v>83</v>
      </c>
      <c r="C105" s="59">
        <v>8.0</v>
      </c>
      <c r="T105" s="128">
        <v>10.0</v>
      </c>
      <c r="U105" s="128">
        <v>20.0</v>
      </c>
      <c r="W105" s="3">
        <v>20.0</v>
      </c>
    </row>
    <row r="106">
      <c r="B106" s="126"/>
      <c r="C106" s="132"/>
      <c r="T106" s="128">
        <v>3.0</v>
      </c>
      <c r="U106" s="128">
        <v>6.0</v>
      </c>
      <c r="W106" s="3">
        <v>3.0</v>
      </c>
    </row>
    <row r="107">
      <c r="B107" s="126" t="s">
        <v>83</v>
      </c>
      <c r="C107" s="59">
        <v>8.0</v>
      </c>
      <c r="T107" s="128">
        <v>14.0</v>
      </c>
      <c r="U107" s="3">
        <v>20.0</v>
      </c>
      <c r="W107" s="3">
        <v>30.0</v>
      </c>
    </row>
    <row r="108">
      <c r="B108" s="126"/>
      <c r="C108" s="132"/>
      <c r="T108" s="128">
        <v>3.0</v>
      </c>
      <c r="U108" s="3">
        <v>6.0</v>
      </c>
      <c r="W108" s="3">
        <v>1.0</v>
      </c>
    </row>
    <row r="109">
      <c r="B109" s="126" t="s">
        <v>83</v>
      </c>
      <c r="C109" s="59">
        <v>8.0</v>
      </c>
      <c r="T109" s="128">
        <v>18.0</v>
      </c>
      <c r="U109" s="3">
        <v>20.0</v>
      </c>
      <c r="W109" s="128">
        <v>33.0</v>
      </c>
    </row>
    <row r="110">
      <c r="B110" s="126"/>
      <c r="C110" s="132"/>
      <c r="T110" s="128">
        <v>3.0</v>
      </c>
      <c r="U110" s="3">
        <v>6.0</v>
      </c>
      <c r="W110" s="128">
        <v>1.0</v>
      </c>
    </row>
    <row r="111">
      <c r="B111" s="126" t="s">
        <v>83</v>
      </c>
      <c r="C111" s="59">
        <v>8.0</v>
      </c>
      <c r="T111" s="128">
        <v>20.0</v>
      </c>
      <c r="W111" s="128">
        <v>34.0</v>
      </c>
    </row>
    <row r="112">
      <c r="B112" s="126"/>
      <c r="C112" s="132"/>
      <c r="T112" s="128">
        <v>5.0</v>
      </c>
      <c r="W112" s="128">
        <v>1.0</v>
      </c>
    </row>
    <row r="113">
      <c r="B113" s="126" t="s">
        <v>62</v>
      </c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  <c r="AB113" s="132"/>
      <c r="AC113" s="132"/>
      <c r="AD113" s="132"/>
      <c r="AE113" s="132"/>
      <c r="AF113" s="132"/>
      <c r="AG113" s="132"/>
    </row>
    <row r="114">
      <c r="B114" s="132"/>
      <c r="C114" s="132"/>
      <c r="D114" s="158"/>
      <c r="E114" s="158"/>
      <c r="F114" s="173" t="s">
        <v>134</v>
      </c>
    </row>
    <row r="115">
      <c r="B115" s="132"/>
      <c r="C115" s="132"/>
      <c r="D115" s="158"/>
      <c r="E115" s="158"/>
      <c r="M115" s="3" t="s">
        <v>135</v>
      </c>
    </row>
    <row r="116">
      <c r="B116" s="132"/>
      <c r="C116" s="132"/>
      <c r="D116" s="158"/>
      <c r="E116" s="158"/>
      <c r="M116" s="3" t="s">
        <v>136</v>
      </c>
    </row>
    <row r="117">
      <c r="B117" s="132"/>
      <c r="C117" s="132"/>
      <c r="D117" s="158"/>
      <c r="E117" s="158"/>
      <c r="M117" s="3" t="s">
        <v>137</v>
      </c>
    </row>
    <row r="118">
      <c r="B118" s="132"/>
      <c r="C118" s="132"/>
      <c r="D118" s="158"/>
      <c r="E118" s="158"/>
      <c r="I118" s="128"/>
      <c r="J118" s="128"/>
    </row>
    <row r="119">
      <c r="B119" s="126"/>
      <c r="C119" s="132"/>
      <c r="D119" s="132"/>
      <c r="E119" s="132"/>
    </row>
    <row r="120">
      <c r="B120" s="132"/>
      <c r="C120" s="132"/>
      <c r="D120" s="158"/>
      <c r="E120" s="158"/>
    </row>
    <row r="121">
      <c r="B121" s="132"/>
      <c r="C121" s="132"/>
      <c r="D121" s="158"/>
      <c r="E121" s="158"/>
    </row>
    <row r="122">
      <c r="B122" s="132"/>
      <c r="C122" s="132"/>
      <c r="D122" s="158"/>
      <c r="E122" s="158"/>
    </row>
    <row r="123">
      <c r="B123" s="132"/>
      <c r="C123" s="132"/>
      <c r="D123" s="158"/>
      <c r="E123" s="158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59" t="s">
        <v>138</v>
      </c>
      <c r="D1" s="67" t="s">
        <v>128</v>
      </c>
      <c r="E1" s="67" t="s">
        <v>128</v>
      </c>
      <c r="F1" s="3" t="s">
        <v>128</v>
      </c>
      <c r="G1" s="3" t="s">
        <v>128</v>
      </c>
      <c r="H1" s="3" t="s">
        <v>128</v>
      </c>
      <c r="I1" s="75" t="s">
        <v>128</v>
      </c>
      <c r="J1" s="75" t="s">
        <v>128</v>
      </c>
      <c r="K1" s="75"/>
      <c r="L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45862.0</v>
      </c>
      <c r="E3" s="84">
        <v>45869.0</v>
      </c>
      <c r="F3" s="84">
        <v>45876.0</v>
      </c>
      <c r="G3" s="84">
        <v>45883.0</v>
      </c>
      <c r="H3" s="48">
        <v>45945.0</v>
      </c>
      <c r="I3" s="48">
        <v>45952.0</v>
      </c>
      <c r="J3" s="48">
        <v>45959.0</v>
      </c>
      <c r="K3" s="48">
        <v>45966.0</v>
      </c>
    </row>
    <row r="4">
      <c r="B4" s="59"/>
      <c r="C4" s="59"/>
      <c r="D4" s="3">
        <v>67.0</v>
      </c>
      <c r="E4" s="3">
        <v>66.8</v>
      </c>
      <c r="F4" s="3">
        <v>68.0</v>
      </c>
      <c r="G4" s="3">
        <v>67.9</v>
      </c>
      <c r="H4" s="3">
        <v>68.8</v>
      </c>
      <c r="I4" s="3">
        <v>69.0</v>
      </c>
      <c r="J4" s="3">
        <v>68.6</v>
      </c>
      <c r="K4" s="3">
        <v>69.2</v>
      </c>
    </row>
    <row r="5">
      <c r="A5" s="3" t="s">
        <v>139</v>
      </c>
      <c r="B5" s="133" t="s">
        <v>140</v>
      </c>
      <c r="C5" s="134"/>
      <c r="D5" s="135">
        <v>0.0</v>
      </c>
      <c r="E5" s="3">
        <v>0.0</v>
      </c>
      <c r="F5" s="3">
        <v>0.0</v>
      </c>
      <c r="G5" s="3">
        <v>0.0</v>
      </c>
    </row>
    <row r="6">
      <c r="B6" s="138"/>
      <c r="C6" s="59"/>
      <c r="D6" s="67">
        <v>8.0</v>
      </c>
      <c r="E6" s="3">
        <v>10.0</v>
      </c>
      <c r="F6" s="3">
        <v>12.0</v>
      </c>
      <c r="G6" s="3">
        <v>12.0</v>
      </c>
    </row>
    <row r="7">
      <c r="A7" s="3"/>
      <c r="B7" s="140" t="s">
        <v>56</v>
      </c>
      <c r="C7" s="59">
        <v>8.0</v>
      </c>
      <c r="D7" s="67"/>
      <c r="E7" s="3"/>
      <c r="F7" s="3"/>
      <c r="G7" s="3"/>
      <c r="H7" s="3"/>
      <c r="I7" s="3"/>
      <c r="J7" s="3">
        <v>40.0</v>
      </c>
      <c r="K7" s="3">
        <v>40.0</v>
      </c>
    </row>
    <row r="8">
      <c r="A8" s="3"/>
      <c r="B8" s="140"/>
      <c r="C8" s="59"/>
      <c r="D8" s="67"/>
      <c r="E8" s="3"/>
      <c r="F8" s="3"/>
      <c r="G8" s="3"/>
      <c r="H8" s="3"/>
      <c r="I8" s="3"/>
      <c r="J8" s="3">
        <v>5.0</v>
      </c>
      <c r="K8" s="3">
        <v>5.0</v>
      </c>
    </row>
    <row r="9">
      <c r="A9" s="3" t="s">
        <v>141</v>
      </c>
      <c r="B9" s="140" t="s">
        <v>142</v>
      </c>
      <c r="C9" s="59">
        <v>8.0</v>
      </c>
      <c r="D9" s="67">
        <v>62.0</v>
      </c>
      <c r="E9" s="3">
        <v>62.5</v>
      </c>
      <c r="F9" s="3">
        <v>63.0</v>
      </c>
      <c r="G9" s="3">
        <v>64.0</v>
      </c>
      <c r="H9" s="3">
        <v>60.0</v>
      </c>
      <c r="I9" s="3">
        <v>60.0</v>
      </c>
      <c r="J9" s="141">
        <v>60.0</v>
      </c>
      <c r="K9" s="141">
        <v>60.0</v>
      </c>
      <c r="L9" s="141">
        <v>60.0</v>
      </c>
    </row>
    <row r="10">
      <c r="B10" s="138"/>
      <c r="C10" s="59"/>
      <c r="D10" s="67">
        <v>1.0</v>
      </c>
      <c r="E10" s="3">
        <v>1.0</v>
      </c>
      <c r="F10" s="3">
        <v>1.0</v>
      </c>
      <c r="G10" s="3">
        <v>1.0</v>
      </c>
      <c r="H10" s="3">
        <v>1.0</v>
      </c>
      <c r="I10" s="3">
        <v>1.0</v>
      </c>
      <c r="J10" s="141">
        <v>1.0</v>
      </c>
      <c r="K10" s="141">
        <v>1.0</v>
      </c>
      <c r="L10" s="141">
        <v>1.0</v>
      </c>
    </row>
    <row r="11">
      <c r="B11" s="140" t="s">
        <v>142</v>
      </c>
      <c r="C11" s="59">
        <v>8.0</v>
      </c>
      <c r="D11" s="67">
        <v>62.0</v>
      </c>
      <c r="E11" s="3">
        <v>62.5</v>
      </c>
      <c r="F11" s="3">
        <v>63.0</v>
      </c>
      <c r="G11" s="3">
        <v>64.0</v>
      </c>
      <c r="H11" s="3">
        <v>65.0</v>
      </c>
      <c r="I11" s="3">
        <v>66.0</v>
      </c>
      <c r="J11" s="141">
        <v>66.0</v>
      </c>
      <c r="K11" s="141">
        <v>66.0</v>
      </c>
      <c r="L11" s="141">
        <v>66.0</v>
      </c>
    </row>
    <row r="12">
      <c r="B12" s="138"/>
      <c r="C12" s="59"/>
      <c r="D12" s="67">
        <v>1.0</v>
      </c>
      <c r="E12" s="3">
        <v>1.0</v>
      </c>
      <c r="F12" s="3">
        <v>1.0</v>
      </c>
      <c r="G12" s="3">
        <v>1.0</v>
      </c>
      <c r="H12" s="3">
        <v>1.0</v>
      </c>
      <c r="I12" s="3">
        <v>1.0</v>
      </c>
      <c r="J12" s="3">
        <v>1.0</v>
      </c>
      <c r="K12" s="3">
        <v>1.0</v>
      </c>
      <c r="L12" s="139"/>
    </row>
    <row r="13">
      <c r="B13" s="140" t="s">
        <v>142</v>
      </c>
      <c r="C13" s="59">
        <v>8.0</v>
      </c>
      <c r="D13" s="142"/>
      <c r="E13" s="3"/>
      <c r="F13" s="3"/>
      <c r="G13" s="3"/>
      <c r="H13" s="3">
        <v>69.0</v>
      </c>
      <c r="I13" s="3">
        <v>70.0</v>
      </c>
      <c r="J13" s="3">
        <v>70.0</v>
      </c>
      <c r="K13" s="3">
        <v>70.0</v>
      </c>
      <c r="L13" s="141" t="s">
        <v>143</v>
      </c>
    </row>
    <row r="14">
      <c r="B14" s="126"/>
      <c r="C14" s="59"/>
      <c r="D14" s="142"/>
      <c r="E14" s="3"/>
      <c r="F14" s="3"/>
      <c r="G14" s="3"/>
      <c r="H14" s="3">
        <v>1.0</v>
      </c>
      <c r="I14" s="3">
        <v>1.0</v>
      </c>
      <c r="J14" s="3">
        <v>1.0</v>
      </c>
      <c r="K14" s="3">
        <v>1.0</v>
      </c>
      <c r="L14" s="141"/>
    </row>
    <row r="15">
      <c r="B15" s="126" t="s">
        <v>133</v>
      </c>
      <c r="C15" s="59">
        <v>8.0</v>
      </c>
      <c r="D15" s="142"/>
      <c r="E15" s="3"/>
      <c r="F15" s="3"/>
      <c r="G15" s="3"/>
      <c r="H15" s="3">
        <v>20.0</v>
      </c>
      <c r="I15" s="3"/>
      <c r="J15" s="3"/>
      <c r="K15" s="3"/>
      <c r="L15" s="141"/>
    </row>
    <row r="16">
      <c r="B16" s="126"/>
      <c r="C16" s="59"/>
      <c r="D16" s="142"/>
      <c r="H16" s="3">
        <v>10.0</v>
      </c>
    </row>
    <row r="17">
      <c r="B17" s="140"/>
      <c r="C17" s="59"/>
      <c r="D17" s="67"/>
      <c r="H17" s="3">
        <v>10.0</v>
      </c>
    </row>
    <row r="18">
      <c r="B18" s="144"/>
      <c r="C18" s="145"/>
      <c r="D18" s="146"/>
      <c r="H18" s="3">
        <v>10.0</v>
      </c>
    </row>
    <row r="19">
      <c r="B19" s="133" t="s">
        <v>107</v>
      </c>
      <c r="C19" s="134">
        <v>8.0</v>
      </c>
      <c r="D19" s="135"/>
      <c r="H19" s="3">
        <v>20.0</v>
      </c>
    </row>
    <row r="20">
      <c r="B20" s="138"/>
      <c r="C20" s="59"/>
      <c r="D20" s="67"/>
      <c r="H20" s="3">
        <v>8.0</v>
      </c>
    </row>
    <row r="21">
      <c r="B21" s="140"/>
      <c r="C21" s="59"/>
      <c r="D21" s="67"/>
      <c r="H21" s="3">
        <v>8.0</v>
      </c>
    </row>
    <row r="22">
      <c r="B22" s="138"/>
      <c r="C22" s="132"/>
      <c r="D22" s="67"/>
      <c r="H22" s="3">
        <v>10.0</v>
      </c>
    </row>
    <row r="23">
      <c r="B23" s="126" t="s">
        <v>83</v>
      </c>
      <c r="C23" s="59">
        <v>8.0</v>
      </c>
      <c r="D23" s="67"/>
      <c r="I23" s="3"/>
      <c r="J23" s="3"/>
      <c r="K23" s="3">
        <v>20.0</v>
      </c>
    </row>
    <row r="24">
      <c r="B24" s="126"/>
      <c r="C24" s="59"/>
      <c r="D24" s="67"/>
      <c r="I24" s="3"/>
      <c r="J24" s="3"/>
      <c r="K24" s="3">
        <v>6.0</v>
      </c>
    </row>
    <row r="25">
      <c r="B25" s="126" t="s">
        <v>83</v>
      </c>
      <c r="C25" s="59">
        <v>8.0</v>
      </c>
      <c r="D25" s="67"/>
      <c r="I25" s="3"/>
      <c r="J25" s="3"/>
      <c r="K25" s="3">
        <v>30.0</v>
      </c>
    </row>
    <row r="26">
      <c r="B26" s="126"/>
      <c r="C26" s="59"/>
      <c r="D26" s="67"/>
      <c r="I26" s="3"/>
      <c r="J26" s="3"/>
      <c r="K26" s="3">
        <v>1.0</v>
      </c>
    </row>
    <row r="27">
      <c r="B27" s="126" t="s">
        <v>83</v>
      </c>
      <c r="C27" s="59">
        <v>8.0</v>
      </c>
      <c r="D27" s="67"/>
      <c r="I27" s="3"/>
      <c r="J27" s="3"/>
      <c r="K27" s="3">
        <v>32.0</v>
      </c>
    </row>
    <row r="28">
      <c r="B28" s="126"/>
      <c r="C28" s="59"/>
      <c r="D28" s="67"/>
      <c r="I28" s="3"/>
      <c r="J28" s="3"/>
      <c r="K28" s="3">
        <v>1.0</v>
      </c>
    </row>
    <row r="29">
      <c r="B29" s="126" t="s">
        <v>144</v>
      </c>
      <c r="C29" s="59">
        <v>4.6</v>
      </c>
      <c r="D29" s="67"/>
      <c r="I29" s="3">
        <v>20.0</v>
      </c>
      <c r="J29" s="3">
        <v>20.0</v>
      </c>
    </row>
    <row r="30">
      <c r="B30" s="126"/>
      <c r="C30" s="59"/>
      <c r="D30" s="67"/>
      <c r="I30" s="3">
        <v>6.0</v>
      </c>
      <c r="J30" s="3">
        <v>7.0</v>
      </c>
    </row>
    <row r="31">
      <c r="B31" s="126" t="s">
        <v>144</v>
      </c>
      <c r="C31" s="59">
        <v>4.6</v>
      </c>
      <c r="D31" s="67"/>
      <c r="I31" s="3">
        <v>20.0</v>
      </c>
      <c r="J31" s="3">
        <v>20.0</v>
      </c>
    </row>
    <row r="32">
      <c r="B32" s="126"/>
      <c r="C32" s="59"/>
      <c r="D32" s="67"/>
      <c r="I32" s="3">
        <v>6.0</v>
      </c>
      <c r="J32" s="3">
        <v>7.0</v>
      </c>
    </row>
    <row r="33">
      <c r="B33" s="126" t="s">
        <v>144</v>
      </c>
      <c r="C33" s="59">
        <v>4.6</v>
      </c>
      <c r="D33" s="67"/>
      <c r="I33" s="3">
        <v>20.0</v>
      </c>
      <c r="J33" s="3">
        <v>20.0</v>
      </c>
    </row>
    <row r="34">
      <c r="B34" s="126"/>
      <c r="C34" s="59"/>
      <c r="D34" s="67"/>
      <c r="I34" s="3">
        <v>6.0</v>
      </c>
      <c r="J34" s="3">
        <v>7.0</v>
      </c>
    </row>
    <row r="35">
      <c r="B35" s="126" t="s">
        <v>69</v>
      </c>
      <c r="C35" s="59"/>
      <c r="D35" s="67"/>
      <c r="I35" s="54" t="s">
        <v>44</v>
      </c>
      <c r="J35" s="54" t="s">
        <v>44</v>
      </c>
      <c r="K35" s="54" t="s">
        <v>44</v>
      </c>
    </row>
    <row r="36">
      <c r="B36" s="126"/>
      <c r="C36" s="59"/>
      <c r="D36" s="67"/>
      <c r="I36" s="3">
        <v>12.0</v>
      </c>
      <c r="J36" s="3">
        <v>12.0</v>
      </c>
      <c r="K36" s="3">
        <v>10.0</v>
      </c>
    </row>
    <row r="37">
      <c r="B37" s="126" t="s">
        <v>69</v>
      </c>
      <c r="C37" s="59"/>
      <c r="D37" s="67"/>
      <c r="I37" s="54" t="s">
        <v>44</v>
      </c>
      <c r="J37" s="54" t="s">
        <v>44</v>
      </c>
      <c r="K37" s="54" t="s">
        <v>44</v>
      </c>
    </row>
    <row r="38">
      <c r="B38" s="126"/>
      <c r="C38" s="59"/>
      <c r="D38" s="67"/>
      <c r="I38" s="3">
        <v>12.0</v>
      </c>
      <c r="J38" s="3">
        <v>12.0</v>
      </c>
      <c r="K38" s="3">
        <v>10.0</v>
      </c>
    </row>
    <row r="39">
      <c r="B39" s="126" t="s">
        <v>69</v>
      </c>
      <c r="C39" s="59"/>
      <c r="D39" s="67"/>
      <c r="I39" s="54" t="s">
        <v>44</v>
      </c>
      <c r="J39" s="54" t="s">
        <v>44</v>
      </c>
      <c r="K39" s="54" t="s">
        <v>44</v>
      </c>
    </row>
    <row r="40">
      <c r="B40" s="126"/>
      <c r="C40" s="59"/>
      <c r="D40" s="67"/>
      <c r="I40" s="3">
        <v>12.0</v>
      </c>
      <c r="J40" s="3">
        <v>12.0</v>
      </c>
      <c r="K40" s="3">
        <v>10.0</v>
      </c>
    </row>
    <row r="41">
      <c r="B41" s="126" t="s">
        <v>62</v>
      </c>
      <c r="C41" s="59"/>
      <c r="D41" s="67"/>
    </row>
    <row r="42">
      <c r="B42" s="138"/>
      <c r="C42" s="132"/>
      <c r="D42" s="67"/>
    </row>
    <row r="43">
      <c r="B43" s="140"/>
      <c r="C43" s="59"/>
      <c r="D43" s="67"/>
    </row>
    <row r="44">
      <c r="B44" s="138"/>
      <c r="C44" s="132"/>
      <c r="D44" s="67"/>
    </row>
    <row r="45">
      <c r="B45" s="140"/>
      <c r="C45" s="59"/>
      <c r="D45" s="142"/>
    </row>
    <row r="46">
      <c r="B46" s="154"/>
      <c r="C46" s="155"/>
      <c r="D46" s="156"/>
    </row>
    <row r="47">
      <c r="B47" s="133"/>
      <c r="C47" s="134"/>
      <c r="D47" s="135"/>
    </row>
    <row r="48">
      <c r="C48" s="132"/>
      <c r="D48" s="67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3" t="s">
        <v>128</v>
      </c>
      <c r="B1" s="59" t="s">
        <v>145</v>
      </c>
      <c r="D1" s="67"/>
      <c r="E1" s="75"/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45924.0</v>
      </c>
      <c r="E3" s="84">
        <v>45931.0</v>
      </c>
      <c r="F3" s="84">
        <v>45938.0</v>
      </c>
      <c r="G3" s="84"/>
    </row>
    <row r="4">
      <c r="B4" s="59"/>
      <c r="C4" s="59"/>
      <c r="D4" s="3">
        <v>66.3</v>
      </c>
      <c r="E4" s="3">
        <v>66.5</v>
      </c>
      <c r="F4" s="3">
        <v>66.9</v>
      </c>
    </row>
    <row r="5">
      <c r="B5" s="133" t="s">
        <v>68</v>
      </c>
      <c r="C5" s="134">
        <v>8.0</v>
      </c>
      <c r="D5" s="135">
        <v>30.0</v>
      </c>
    </row>
    <row r="6">
      <c r="B6" s="138"/>
      <c r="C6" s="59"/>
      <c r="D6" s="67">
        <v>10.0</v>
      </c>
    </row>
    <row r="7">
      <c r="B7" s="133" t="s">
        <v>68</v>
      </c>
      <c r="C7" s="134">
        <v>8.0</v>
      </c>
      <c r="D7" s="67">
        <v>40.0</v>
      </c>
    </row>
    <row r="8">
      <c r="B8" s="138"/>
      <c r="C8" s="59"/>
      <c r="D8" s="67">
        <v>10.0</v>
      </c>
    </row>
    <row r="9">
      <c r="B9" s="133" t="s">
        <v>68</v>
      </c>
      <c r="C9" s="134">
        <v>8.0</v>
      </c>
      <c r="D9" s="67">
        <v>50.0</v>
      </c>
    </row>
    <row r="10">
      <c r="B10" s="138"/>
      <c r="C10" s="59"/>
      <c r="D10" s="67">
        <v>10.0</v>
      </c>
    </row>
    <row r="11">
      <c r="B11" s="133" t="s">
        <v>68</v>
      </c>
      <c r="C11" s="134">
        <v>8.0</v>
      </c>
      <c r="D11" s="142">
        <v>60.0</v>
      </c>
      <c r="E11" s="3"/>
      <c r="F11" s="3"/>
      <c r="G11" s="3"/>
    </row>
    <row r="12">
      <c r="B12" s="138"/>
      <c r="C12" s="59"/>
      <c r="D12" s="142">
        <v>10.0</v>
      </c>
    </row>
    <row r="13">
      <c r="B13" s="140"/>
      <c r="C13" s="59"/>
      <c r="D13" s="67"/>
      <c r="E13" s="3"/>
      <c r="F13" s="3"/>
    </row>
    <row r="14">
      <c r="B14" s="140"/>
      <c r="C14" s="59"/>
      <c r="D14" s="67"/>
      <c r="E14" s="3"/>
      <c r="F14" s="3"/>
    </row>
    <row r="15">
      <c r="B15" s="140"/>
      <c r="C15" s="59"/>
      <c r="D15" s="67"/>
      <c r="E15" s="3"/>
      <c r="F15" s="3"/>
    </row>
    <row r="16">
      <c r="B16" s="140"/>
      <c r="C16" s="59"/>
      <c r="D16" s="67"/>
      <c r="E16" s="3"/>
      <c r="F16" s="3"/>
    </row>
    <row r="17">
      <c r="B17" s="140" t="s">
        <v>142</v>
      </c>
      <c r="C17" s="59">
        <v>8.0</v>
      </c>
      <c r="D17" s="67">
        <v>60.0</v>
      </c>
      <c r="E17" s="3">
        <v>60.0</v>
      </c>
      <c r="F17" s="3">
        <v>60.0</v>
      </c>
    </row>
    <row r="18">
      <c r="B18" s="144"/>
      <c r="C18" s="145"/>
      <c r="D18" s="146">
        <v>1.0</v>
      </c>
      <c r="E18" s="3">
        <v>1.0</v>
      </c>
      <c r="F18" s="3">
        <v>1.0</v>
      </c>
    </row>
    <row r="19">
      <c r="B19" s="140" t="s">
        <v>142</v>
      </c>
      <c r="C19" s="59">
        <v>8.0</v>
      </c>
      <c r="D19" s="135">
        <v>62.0</v>
      </c>
      <c r="E19" s="3">
        <v>64.0</v>
      </c>
      <c r="F19" s="3">
        <v>64.0</v>
      </c>
    </row>
    <row r="20">
      <c r="B20" s="144"/>
      <c r="C20" s="145"/>
      <c r="D20" s="67">
        <v>1.0</v>
      </c>
      <c r="E20" s="3">
        <v>1.0</v>
      </c>
      <c r="F20" s="3">
        <v>1.0</v>
      </c>
    </row>
    <row r="21">
      <c r="B21" s="140" t="s">
        <v>142</v>
      </c>
      <c r="C21" s="59">
        <v>8.0</v>
      </c>
      <c r="D21" s="67">
        <v>64.0</v>
      </c>
      <c r="E21" s="3">
        <v>67.0</v>
      </c>
      <c r="F21" s="3">
        <v>68.0</v>
      </c>
    </row>
    <row r="22">
      <c r="B22" s="144"/>
      <c r="C22" s="145"/>
      <c r="D22" s="67">
        <v>1.0</v>
      </c>
      <c r="E22" s="3">
        <v>1.0</v>
      </c>
      <c r="F22" s="3">
        <v>1.0</v>
      </c>
    </row>
    <row r="23">
      <c r="B23" s="140" t="s">
        <v>142</v>
      </c>
      <c r="C23" s="59">
        <v>8.0</v>
      </c>
      <c r="D23" s="67">
        <v>66.0</v>
      </c>
    </row>
    <row r="24">
      <c r="B24" s="144"/>
      <c r="C24" s="145"/>
      <c r="D24" s="67">
        <v>1.0</v>
      </c>
    </row>
    <row r="25">
      <c r="B25" s="140" t="s">
        <v>93</v>
      </c>
      <c r="C25" s="59"/>
      <c r="D25" s="67"/>
      <c r="E25" s="67">
        <v>0.0</v>
      </c>
      <c r="F25" s="3">
        <v>0.0</v>
      </c>
    </row>
    <row r="26">
      <c r="B26" s="140"/>
      <c r="C26" s="59"/>
      <c r="D26" s="67"/>
      <c r="E26" s="67">
        <v>25.0</v>
      </c>
      <c r="F26" s="3">
        <v>30.0</v>
      </c>
    </row>
    <row r="27">
      <c r="B27" s="140" t="s">
        <v>100</v>
      </c>
      <c r="C27" s="59"/>
      <c r="D27" s="67" t="s">
        <v>46</v>
      </c>
      <c r="E27" s="67" t="s">
        <v>46</v>
      </c>
      <c r="F27" s="3" t="s">
        <v>46</v>
      </c>
    </row>
    <row r="28">
      <c r="B28" s="138"/>
      <c r="C28" s="132"/>
      <c r="D28" s="67">
        <v>10.0</v>
      </c>
      <c r="E28" s="67">
        <v>10.0</v>
      </c>
      <c r="F28" s="3">
        <v>12.0</v>
      </c>
    </row>
    <row r="29">
      <c r="B29" s="140" t="s">
        <v>100</v>
      </c>
      <c r="C29" s="59"/>
      <c r="D29" s="67" t="s">
        <v>46</v>
      </c>
      <c r="E29" s="67" t="s">
        <v>46</v>
      </c>
      <c r="F29" s="3" t="s">
        <v>46</v>
      </c>
    </row>
    <row r="30">
      <c r="B30" s="138"/>
      <c r="C30" s="132"/>
      <c r="D30" s="67">
        <v>10.0</v>
      </c>
      <c r="E30" s="67">
        <v>10.0</v>
      </c>
      <c r="F30" s="3">
        <v>12.0</v>
      </c>
    </row>
    <row r="31">
      <c r="B31" s="140" t="s">
        <v>100</v>
      </c>
      <c r="C31" s="59"/>
      <c r="D31" s="67" t="s">
        <v>46</v>
      </c>
      <c r="E31" s="67" t="s">
        <v>46</v>
      </c>
      <c r="F31" s="3" t="s">
        <v>46</v>
      </c>
    </row>
    <row r="32">
      <c r="B32" s="138"/>
      <c r="C32" s="132"/>
      <c r="D32" s="67">
        <v>10.0</v>
      </c>
      <c r="E32" s="67">
        <v>10.0</v>
      </c>
      <c r="F32" s="3">
        <v>12.0</v>
      </c>
    </row>
    <row r="33">
      <c r="B33" s="140" t="s">
        <v>72</v>
      </c>
      <c r="C33" s="132"/>
      <c r="D33" s="3">
        <v>7.0</v>
      </c>
      <c r="E33" s="3">
        <v>7.0</v>
      </c>
      <c r="F33" s="3">
        <v>7.0</v>
      </c>
    </row>
    <row r="34">
      <c r="B34" s="138"/>
      <c r="C34" s="132"/>
      <c r="D34" s="3">
        <v>12.0</v>
      </c>
      <c r="E34" s="3">
        <v>13.0</v>
      </c>
      <c r="F34" s="3">
        <v>14.0</v>
      </c>
    </row>
    <row r="35">
      <c r="B35" s="140" t="s">
        <v>72</v>
      </c>
      <c r="C35" s="132"/>
      <c r="D35" s="3">
        <v>7.0</v>
      </c>
      <c r="E35" s="3">
        <v>7.0</v>
      </c>
      <c r="F35" s="3">
        <v>7.0</v>
      </c>
    </row>
    <row r="36">
      <c r="B36" s="138"/>
      <c r="C36" s="132"/>
      <c r="D36" s="3">
        <v>12.0</v>
      </c>
      <c r="E36" s="3">
        <v>13.0</v>
      </c>
      <c r="F36" s="3">
        <v>14.0</v>
      </c>
    </row>
    <row r="37">
      <c r="B37" s="140" t="s">
        <v>72</v>
      </c>
      <c r="C37" s="132"/>
      <c r="D37" s="3">
        <v>7.0</v>
      </c>
      <c r="E37" s="3">
        <v>7.0</v>
      </c>
      <c r="F37" s="3">
        <v>7.0</v>
      </c>
    </row>
    <row r="38">
      <c r="B38" s="138"/>
      <c r="C38" s="132"/>
      <c r="D38" s="3">
        <v>12.0</v>
      </c>
      <c r="E38" s="3">
        <v>13.0</v>
      </c>
      <c r="F38" s="3">
        <v>14.0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</row>
    <row r="40">
      <c r="B40" s="138"/>
      <c r="C40" s="132"/>
      <c r="D40" s="3">
        <v>10.0</v>
      </c>
      <c r="E40" s="3">
        <v>12.0</v>
      </c>
      <c r="F40" s="3">
        <v>13.0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</row>
    <row r="42">
      <c r="B42" s="138"/>
      <c r="C42" s="132"/>
      <c r="D42" s="3">
        <v>10.0</v>
      </c>
      <c r="E42" s="3">
        <v>12.0</v>
      </c>
      <c r="F42" s="3">
        <v>13.0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</row>
    <row r="44">
      <c r="B44" s="138"/>
      <c r="C44" s="132"/>
      <c r="D44" s="3">
        <v>10.0</v>
      </c>
      <c r="E44" s="3">
        <v>12.0</v>
      </c>
      <c r="F44" s="3">
        <v>13.0</v>
      </c>
    </row>
    <row r="45">
      <c r="B45" s="140" t="s">
        <v>59</v>
      </c>
      <c r="C45" s="132"/>
      <c r="D45" s="3">
        <v>12.0</v>
      </c>
    </row>
    <row r="46">
      <c r="B46" s="138"/>
      <c r="C46" s="132"/>
      <c r="D46" s="3">
        <v>10.0</v>
      </c>
    </row>
    <row r="47">
      <c r="B47" s="140" t="s">
        <v>59</v>
      </c>
      <c r="C47" s="132"/>
      <c r="D47" s="3">
        <v>12.0</v>
      </c>
    </row>
    <row r="48">
      <c r="B48" s="138"/>
      <c r="C48" s="132"/>
      <c r="D48" s="3">
        <v>10.0</v>
      </c>
    </row>
    <row r="49">
      <c r="B49" s="126" t="s">
        <v>62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3" t="s">
        <v>128</v>
      </c>
      <c r="B1" s="59" t="s">
        <v>146</v>
      </c>
      <c r="D1" s="67" t="s">
        <v>128</v>
      </c>
      <c r="E1" s="75" t="s">
        <v>128</v>
      </c>
      <c r="F1" s="75" t="s">
        <v>128</v>
      </c>
      <c r="G1" s="75"/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45950.0</v>
      </c>
      <c r="E3" s="84">
        <v>45955.0</v>
      </c>
      <c r="F3" s="84">
        <v>45957.0</v>
      </c>
      <c r="G3" s="84">
        <v>45964.0</v>
      </c>
      <c r="H3" s="84"/>
    </row>
    <row r="4">
      <c r="B4" s="59"/>
      <c r="C4" s="59"/>
      <c r="D4" s="3">
        <v>68.9</v>
      </c>
      <c r="E4" s="3">
        <v>68.7</v>
      </c>
      <c r="F4" s="3">
        <v>68.6</v>
      </c>
      <c r="G4" s="3">
        <v>68.7</v>
      </c>
    </row>
    <row r="5">
      <c r="B5" s="59" t="s">
        <v>83</v>
      </c>
      <c r="C5" s="59">
        <v>8.0</v>
      </c>
      <c r="D5" s="67"/>
      <c r="F5" s="3"/>
      <c r="G5" s="3">
        <v>20.0</v>
      </c>
    </row>
    <row r="6">
      <c r="B6" s="59"/>
      <c r="C6" s="59"/>
      <c r="D6" s="67"/>
      <c r="F6" s="3"/>
      <c r="G6" s="3">
        <v>6.0</v>
      </c>
    </row>
    <row r="7">
      <c r="B7" s="59" t="s">
        <v>83</v>
      </c>
      <c r="C7" s="59">
        <v>8.0</v>
      </c>
      <c r="D7" s="67"/>
      <c r="F7" s="3"/>
      <c r="G7" s="3">
        <v>26.0</v>
      </c>
    </row>
    <row r="8">
      <c r="B8" s="59"/>
      <c r="C8" s="59"/>
      <c r="D8" s="67"/>
      <c r="F8" s="3"/>
      <c r="G8" s="3">
        <v>6.0</v>
      </c>
    </row>
    <row r="9">
      <c r="B9" s="59" t="s">
        <v>83</v>
      </c>
      <c r="C9" s="59">
        <v>8.0</v>
      </c>
      <c r="D9" s="67"/>
      <c r="F9" s="3"/>
      <c r="G9" s="3">
        <v>27.0</v>
      </c>
    </row>
    <row r="10">
      <c r="B10" s="59"/>
      <c r="C10" s="59"/>
      <c r="D10" s="67"/>
      <c r="F10" s="3"/>
      <c r="G10" s="3">
        <v>6.0</v>
      </c>
    </row>
    <row r="11">
      <c r="B11" s="133" t="s">
        <v>71</v>
      </c>
      <c r="C11" s="134">
        <v>8.0</v>
      </c>
      <c r="D11" s="135">
        <v>40.0</v>
      </c>
      <c r="F11" s="3">
        <v>41.0</v>
      </c>
      <c r="G11" s="3">
        <v>42.0</v>
      </c>
    </row>
    <row r="12">
      <c r="B12" s="138"/>
      <c r="C12" s="59"/>
      <c r="D12" s="67">
        <v>2.0</v>
      </c>
      <c r="F12" s="3">
        <v>2.0</v>
      </c>
      <c r="G12" s="3">
        <v>2.0</v>
      </c>
    </row>
    <row r="13">
      <c r="B13" s="133" t="s">
        <v>71</v>
      </c>
      <c r="C13" s="134">
        <v>8.0</v>
      </c>
      <c r="D13" s="135">
        <v>40.0</v>
      </c>
      <c r="F13" s="3">
        <v>41.0</v>
      </c>
      <c r="G13" s="3">
        <v>42.0</v>
      </c>
    </row>
    <row r="14">
      <c r="B14" s="138"/>
      <c r="C14" s="59"/>
      <c r="D14" s="67">
        <v>2.0</v>
      </c>
      <c r="F14" s="3">
        <v>2.0</v>
      </c>
      <c r="G14" s="3">
        <v>2.0</v>
      </c>
    </row>
    <row r="15">
      <c r="B15" s="133" t="s">
        <v>71</v>
      </c>
      <c r="C15" s="134">
        <v>8.0</v>
      </c>
      <c r="D15" s="135">
        <v>40.0</v>
      </c>
      <c r="F15" s="3">
        <v>41.0</v>
      </c>
      <c r="G15" s="3">
        <v>42.0</v>
      </c>
    </row>
    <row r="16">
      <c r="B16" s="138"/>
      <c r="C16" s="59"/>
      <c r="D16" s="67">
        <v>2.0</v>
      </c>
      <c r="F16" s="3">
        <v>2.0</v>
      </c>
      <c r="G16" s="3">
        <v>2.0</v>
      </c>
    </row>
    <row r="17">
      <c r="B17" s="140" t="s">
        <v>71</v>
      </c>
      <c r="C17" s="59">
        <v>8.0</v>
      </c>
      <c r="D17" s="67"/>
      <c r="F17" s="3"/>
      <c r="G17" s="3">
        <v>42.0</v>
      </c>
    </row>
    <row r="18">
      <c r="B18" s="138"/>
      <c r="C18" s="59"/>
      <c r="D18" s="67"/>
      <c r="F18" s="3"/>
      <c r="G18" s="3">
        <v>1.0</v>
      </c>
    </row>
    <row r="19">
      <c r="B19" s="133" t="s">
        <v>147</v>
      </c>
      <c r="C19" s="134">
        <v>4.6</v>
      </c>
      <c r="D19" s="67">
        <v>20.0</v>
      </c>
      <c r="E19" s="3"/>
      <c r="F19" s="3">
        <v>20.0</v>
      </c>
      <c r="G19" s="3">
        <v>20.0</v>
      </c>
      <c r="H19" s="3"/>
    </row>
    <row r="20">
      <c r="B20" s="138"/>
      <c r="C20" s="59"/>
      <c r="D20" s="67">
        <v>6.0</v>
      </c>
      <c r="F20" s="3">
        <v>8.0</v>
      </c>
      <c r="G20" s="3">
        <v>8.0</v>
      </c>
    </row>
    <row r="21">
      <c r="B21" s="133" t="s">
        <v>147</v>
      </c>
      <c r="C21" s="134">
        <v>4.6</v>
      </c>
      <c r="D21" s="67">
        <v>20.0</v>
      </c>
      <c r="F21" s="3">
        <v>20.0</v>
      </c>
      <c r="G21" s="3">
        <v>20.0</v>
      </c>
    </row>
    <row r="22">
      <c r="B22" s="138"/>
      <c r="C22" s="59"/>
      <c r="D22" s="67">
        <v>6.0</v>
      </c>
      <c r="F22" s="3">
        <v>6.0</v>
      </c>
      <c r="G22" s="3">
        <v>8.0</v>
      </c>
    </row>
    <row r="23">
      <c r="B23" s="133" t="s">
        <v>147</v>
      </c>
      <c r="C23" s="134">
        <v>4.6</v>
      </c>
      <c r="D23" s="67">
        <v>20.0</v>
      </c>
      <c r="F23" s="3">
        <v>20.0</v>
      </c>
      <c r="G23" s="3">
        <v>20.0</v>
      </c>
    </row>
    <row r="24">
      <c r="B24" s="138"/>
      <c r="C24" s="59"/>
      <c r="D24" s="67">
        <v>6.0</v>
      </c>
      <c r="F24" s="3">
        <v>6.0</v>
      </c>
      <c r="G24" s="3">
        <v>8.0</v>
      </c>
    </row>
    <row r="25">
      <c r="B25" s="140" t="s">
        <v>148</v>
      </c>
      <c r="C25" s="134">
        <v>4.6</v>
      </c>
      <c r="D25" s="67">
        <v>10.0</v>
      </c>
      <c r="F25" s="3">
        <v>10.0</v>
      </c>
      <c r="G25" s="3">
        <v>10.0</v>
      </c>
    </row>
    <row r="26">
      <c r="B26" s="144"/>
      <c r="C26" s="145"/>
      <c r="D26" s="146">
        <v>8.0</v>
      </c>
      <c r="F26" s="3">
        <v>8.0</v>
      </c>
      <c r="G26" s="3">
        <v>8.0</v>
      </c>
    </row>
    <row r="27">
      <c r="B27" s="140" t="s">
        <v>148</v>
      </c>
      <c r="C27" s="134">
        <v>4.6</v>
      </c>
      <c r="D27" s="135">
        <v>10.0</v>
      </c>
      <c r="F27" s="3">
        <v>10.0</v>
      </c>
      <c r="G27" s="3">
        <v>10.0</v>
      </c>
    </row>
    <row r="28">
      <c r="B28" s="144"/>
      <c r="C28" s="145"/>
      <c r="D28" s="67">
        <v>8.0</v>
      </c>
      <c r="F28" s="3">
        <v>8.0</v>
      </c>
      <c r="G28" s="3">
        <v>8.0</v>
      </c>
    </row>
    <row r="29">
      <c r="B29" s="140" t="s">
        <v>148</v>
      </c>
      <c r="C29" s="134">
        <v>4.6</v>
      </c>
      <c r="D29" s="67">
        <v>10.0</v>
      </c>
      <c r="F29" s="3">
        <v>10.0</v>
      </c>
      <c r="G29" s="3">
        <v>10.0</v>
      </c>
    </row>
    <row r="30">
      <c r="B30" s="144"/>
      <c r="C30" s="145"/>
      <c r="D30" s="67">
        <v>8.0</v>
      </c>
      <c r="F30" s="3">
        <v>8.0</v>
      </c>
      <c r="G30" s="3">
        <v>8.0</v>
      </c>
    </row>
    <row r="31">
      <c r="B31" s="133" t="s">
        <v>100</v>
      </c>
      <c r="C31" s="132"/>
      <c r="E31" s="3" t="s">
        <v>46</v>
      </c>
    </row>
    <row r="32">
      <c r="B32" s="140"/>
      <c r="C32" s="132"/>
      <c r="D32" s="3"/>
      <c r="E32" s="3">
        <v>10.0</v>
      </c>
    </row>
    <row r="33">
      <c r="B33" s="133" t="s">
        <v>100</v>
      </c>
      <c r="C33" s="132"/>
      <c r="D33" s="3"/>
      <c r="E33" s="3" t="s">
        <v>46</v>
      </c>
    </row>
    <row r="34">
      <c r="B34" s="140"/>
      <c r="C34" s="132"/>
      <c r="D34" s="3"/>
      <c r="E34" s="3">
        <v>10.0</v>
      </c>
    </row>
    <row r="35">
      <c r="B35" s="133" t="s">
        <v>100</v>
      </c>
      <c r="C35" s="132"/>
      <c r="D35" s="3"/>
      <c r="E35" s="3" t="s">
        <v>46</v>
      </c>
    </row>
    <row r="36">
      <c r="B36" s="140"/>
      <c r="C36" s="132"/>
      <c r="D36" s="3"/>
      <c r="E36" s="3">
        <v>10.0</v>
      </c>
    </row>
    <row r="37">
      <c r="B37" s="140" t="s">
        <v>69</v>
      </c>
      <c r="C37" s="132"/>
      <c r="D37" s="3"/>
      <c r="E37" s="54" t="s">
        <v>44</v>
      </c>
    </row>
    <row r="38">
      <c r="B38" s="140"/>
      <c r="C38" s="132"/>
      <c r="D38" s="3"/>
      <c r="E38" s="3">
        <v>15.0</v>
      </c>
    </row>
    <row r="39">
      <c r="B39" s="140" t="s">
        <v>59</v>
      </c>
      <c r="C39" s="132"/>
      <c r="D39" s="3">
        <v>12.0</v>
      </c>
      <c r="E39" s="3">
        <v>12.0</v>
      </c>
      <c r="F39" s="3">
        <v>12.0</v>
      </c>
      <c r="G39" s="3">
        <v>12.0</v>
      </c>
    </row>
    <row r="40">
      <c r="B40" s="138"/>
      <c r="C40" s="132"/>
      <c r="D40" s="3">
        <v>12.0</v>
      </c>
      <c r="E40" s="3">
        <v>15.0</v>
      </c>
      <c r="F40" s="3">
        <v>15.0</v>
      </c>
      <c r="G40" s="3">
        <v>12.0</v>
      </c>
    </row>
    <row r="41">
      <c r="B41" s="140" t="s">
        <v>59</v>
      </c>
      <c r="C41" s="132"/>
      <c r="D41" s="3">
        <v>12.0</v>
      </c>
      <c r="E41" s="3">
        <v>12.0</v>
      </c>
      <c r="F41" s="3">
        <v>12.0</v>
      </c>
      <c r="G41" s="3">
        <v>12.0</v>
      </c>
    </row>
    <row r="42">
      <c r="B42" s="138"/>
      <c r="C42" s="132"/>
      <c r="D42" s="3">
        <v>12.0</v>
      </c>
      <c r="E42" s="3">
        <v>15.0</v>
      </c>
      <c r="F42" s="3">
        <v>18.0</v>
      </c>
      <c r="G42" s="3">
        <v>12.0</v>
      </c>
    </row>
    <row r="43">
      <c r="B43" s="140" t="s">
        <v>59</v>
      </c>
      <c r="C43" s="132"/>
      <c r="D43" s="3">
        <v>12.0</v>
      </c>
      <c r="E43" s="3">
        <v>12.0</v>
      </c>
      <c r="F43" s="3">
        <v>12.0</v>
      </c>
      <c r="G43" s="3">
        <v>12.0</v>
      </c>
    </row>
    <row r="44">
      <c r="B44" s="138"/>
      <c r="C44" s="132"/>
      <c r="D44" s="3">
        <v>12.0</v>
      </c>
      <c r="E44" s="3">
        <v>20.0</v>
      </c>
      <c r="F44" s="3">
        <v>20.0</v>
      </c>
      <c r="G44" s="3">
        <v>12.0</v>
      </c>
    </row>
    <row r="45">
      <c r="B45" s="126" t="s">
        <v>62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3" t="s">
        <v>128</v>
      </c>
      <c r="B1" s="59" t="s">
        <v>149</v>
      </c>
      <c r="D1" s="67" t="s">
        <v>128</v>
      </c>
      <c r="E1" s="75" t="s">
        <v>128</v>
      </c>
      <c r="F1" s="75"/>
      <c r="G1" s="75" t="s">
        <v>62</v>
      </c>
    </row>
    <row r="2">
      <c r="B2" s="59"/>
      <c r="C2" s="130"/>
      <c r="D2" s="84"/>
      <c r="E2" s="84"/>
      <c r="F2" s="84"/>
      <c r="G2" s="84"/>
    </row>
    <row r="3">
      <c r="B3" s="59"/>
      <c r="C3" s="130"/>
      <c r="D3" s="84">
        <v>45953.0</v>
      </c>
      <c r="E3" s="84">
        <v>45960.0</v>
      </c>
      <c r="F3" s="84">
        <v>45965.0</v>
      </c>
      <c r="G3" s="84"/>
    </row>
    <row r="4">
      <c r="B4" s="59"/>
      <c r="C4" s="59"/>
      <c r="D4" s="3">
        <v>68.5</v>
      </c>
      <c r="E4" s="3">
        <v>68.9</v>
      </c>
      <c r="F4" s="3">
        <v>68.8</v>
      </c>
    </row>
    <row r="5">
      <c r="B5" s="59" t="s">
        <v>83</v>
      </c>
      <c r="C5" s="59">
        <v>8.0</v>
      </c>
      <c r="D5" s="67"/>
      <c r="E5" s="3">
        <v>20.0</v>
      </c>
    </row>
    <row r="6">
      <c r="B6" s="59"/>
      <c r="C6" s="59"/>
      <c r="D6" s="67"/>
      <c r="E6" s="3">
        <v>5.0</v>
      </c>
    </row>
    <row r="7">
      <c r="B7" s="59" t="s">
        <v>83</v>
      </c>
      <c r="C7" s="59">
        <v>8.0</v>
      </c>
      <c r="D7" s="67"/>
      <c r="E7" s="3">
        <v>22.0</v>
      </c>
    </row>
    <row r="8">
      <c r="B8" s="59"/>
      <c r="C8" s="59"/>
      <c r="D8" s="67"/>
      <c r="E8" s="3">
        <v>5.0</v>
      </c>
    </row>
    <row r="9">
      <c r="B9" s="59" t="s">
        <v>83</v>
      </c>
      <c r="C9" s="59">
        <v>8.0</v>
      </c>
      <c r="D9" s="67"/>
      <c r="E9" s="3">
        <v>23.0</v>
      </c>
    </row>
    <row r="10">
      <c r="B10" s="59"/>
      <c r="C10" s="59"/>
      <c r="D10" s="67"/>
      <c r="E10" s="3">
        <v>5.0</v>
      </c>
    </row>
    <row r="11">
      <c r="B11" s="59" t="s">
        <v>150</v>
      </c>
      <c r="C11" s="59">
        <v>8.0</v>
      </c>
      <c r="D11" s="67"/>
      <c r="E11" s="3"/>
      <c r="F11" s="3">
        <v>30.0</v>
      </c>
    </row>
    <row r="12">
      <c r="B12" s="59"/>
      <c r="C12" s="59"/>
      <c r="D12" s="67"/>
      <c r="E12" s="3"/>
      <c r="F12" s="3">
        <v>3.0</v>
      </c>
    </row>
    <row r="13">
      <c r="B13" s="59" t="s">
        <v>150</v>
      </c>
      <c r="C13" s="59">
        <v>8.0</v>
      </c>
      <c r="D13" s="67"/>
      <c r="E13" s="3"/>
      <c r="F13" s="3">
        <v>34.0</v>
      </c>
    </row>
    <row r="14">
      <c r="B14" s="59"/>
      <c r="C14" s="59"/>
      <c r="D14" s="67"/>
      <c r="E14" s="3"/>
      <c r="F14" s="3">
        <v>1.0</v>
      </c>
    </row>
    <row r="15">
      <c r="B15" s="59" t="s">
        <v>150</v>
      </c>
      <c r="C15" s="59">
        <v>8.0</v>
      </c>
      <c r="D15" s="67"/>
      <c r="E15" s="3"/>
      <c r="F15" s="3">
        <v>38.0</v>
      </c>
    </row>
    <row r="16">
      <c r="B16" s="59"/>
      <c r="C16" s="59"/>
      <c r="D16" s="67"/>
      <c r="E16" s="3"/>
      <c r="F16" s="3">
        <v>1.0</v>
      </c>
    </row>
    <row r="17">
      <c r="B17" s="133" t="s">
        <v>64</v>
      </c>
      <c r="C17" s="134">
        <v>8.0</v>
      </c>
      <c r="D17" s="135">
        <v>50.0</v>
      </c>
      <c r="E17" s="3">
        <v>50.0</v>
      </c>
    </row>
    <row r="18">
      <c r="B18" s="138"/>
      <c r="C18" s="59"/>
      <c r="D18" s="67">
        <v>10.0</v>
      </c>
      <c r="E18" s="3">
        <v>11.0</v>
      </c>
    </row>
    <row r="19">
      <c r="B19" s="133" t="s">
        <v>64</v>
      </c>
      <c r="C19" s="134">
        <v>8.0</v>
      </c>
      <c r="D19" s="135">
        <v>50.0</v>
      </c>
      <c r="E19" s="3">
        <v>50.0</v>
      </c>
    </row>
    <row r="20">
      <c r="B20" s="138"/>
      <c r="C20" s="59"/>
      <c r="D20" s="67">
        <v>10.0</v>
      </c>
      <c r="E20" s="3">
        <v>11.0</v>
      </c>
    </row>
    <row r="21">
      <c r="B21" s="133" t="s">
        <v>64</v>
      </c>
      <c r="C21" s="134">
        <v>8.0</v>
      </c>
      <c r="D21" s="135">
        <v>50.0</v>
      </c>
      <c r="E21" s="3">
        <v>50.0</v>
      </c>
    </row>
    <row r="22">
      <c r="B22" s="138"/>
      <c r="C22" s="59"/>
      <c r="D22" s="67">
        <v>10.0</v>
      </c>
    </row>
    <row r="23">
      <c r="B23" s="133" t="s">
        <v>65</v>
      </c>
      <c r="C23" s="134">
        <v>8.0</v>
      </c>
      <c r="D23" s="67">
        <v>60.0</v>
      </c>
      <c r="E23" s="3">
        <v>60.0</v>
      </c>
      <c r="F23" s="3">
        <v>60.0</v>
      </c>
      <c r="G23" s="3"/>
    </row>
    <row r="24">
      <c r="B24" s="138"/>
      <c r="C24" s="59"/>
      <c r="D24" s="67">
        <v>1.0</v>
      </c>
      <c r="E24" s="3">
        <v>1.0</v>
      </c>
      <c r="F24" s="3">
        <v>1.0</v>
      </c>
    </row>
    <row r="25">
      <c r="B25" s="133" t="s">
        <v>65</v>
      </c>
      <c r="C25" s="134">
        <v>8.0</v>
      </c>
      <c r="D25" s="67">
        <v>60.0</v>
      </c>
      <c r="E25" s="3">
        <v>62.0</v>
      </c>
      <c r="F25" s="3">
        <v>64.0</v>
      </c>
    </row>
    <row r="26">
      <c r="B26" s="138"/>
      <c r="C26" s="59"/>
      <c r="D26" s="67">
        <v>1.0</v>
      </c>
      <c r="E26" s="3">
        <v>1.0</v>
      </c>
      <c r="F26" s="3">
        <v>1.0</v>
      </c>
    </row>
    <row r="27">
      <c r="B27" s="133" t="s">
        <v>65</v>
      </c>
      <c r="C27" s="134">
        <v>8.0</v>
      </c>
      <c r="D27" s="67">
        <v>60.0</v>
      </c>
      <c r="E27" s="3">
        <v>64.0</v>
      </c>
      <c r="F27" s="3">
        <v>68.0</v>
      </c>
    </row>
    <row r="28">
      <c r="B28" s="138"/>
      <c r="C28" s="59"/>
      <c r="D28" s="67">
        <v>1.0</v>
      </c>
      <c r="E28" s="3">
        <v>1.0</v>
      </c>
      <c r="F28" s="3">
        <v>1.0</v>
      </c>
    </row>
    <row r="29">
      <c r="B29" s="59" t="s">
        <v>65</v>
      </c>
      <c r="C29" s="59">
        <v>8.0</v>
      </c>
      <c r="D29" s="67"/>
      <c r="E29" s="3"/>
      <c r="F29" s="3">
        <v>70.0</v>
      </c>
    </row>
    <row r="30">
      <c r="B30" s="132"/>
      <c r="C30" s="59"/>
      <c r="D30" s="67"/>
      <c r="E30" s="3"/>
      <c r="F30" s="3">
        <v>1.0</v>
      </c>
    </row>
    <row r="31">
      <c r="B31" s="126" t="s">
        <v>62</v>
      </c>
      <c r="C31" s="134"/>
      <c r="D31" s="67"/>
    </row>
    <row r="32">
      <c r="B32" s="144"/>
      <c r="C32" s="145"/>
      <c r="D32" s="146"/>
    </row>
    <row r="33">
      <c r="B33" s="140"/>
      <c r="C33" s="134"/>
      <c r="D33" s="135"/>
    </row>
    <row r="34">
      <c r="B34" s="144"/>
      <c r="C34" s="145"/>
      <c r="D34" s="67"/>
    </row>
    <row r="35">
      <c r="B35" s="140"/>
      <c r="C35" s="134"/>
      <c r="D35" s="67"/>
    </row>
    <row r="36">
      <c r="B36" s="144"/>
      <c r="C36" s="145"/>
      <c r="D36" s="67"/>
    </row>
    <row r="37">
      <c r="B37" s="140"/>
      <c r="C37" s="132"/>
    </row>
    <row r="38">
      <c r="B38" s="138"/>
      <c r="C38" s="132"/>
    </row>
    <row r="39">
      <c r="B39" s="140"/>
      <c r="C39" s="132"/>
    </row>
    <row r="40">
      <c r="B40" s="138"/>
      <c r="C40" s="132"/>
    </row>
    <row r="41">
      <c r="B41" s="140"/>
      <c r="C41" s="132"/>
    </row>
    <row r="42">
      <c r="B42" s="138"/>
      <c r="C42" s="13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5" width="4.25"/>
    <col customWidth="1" min="6" max="8" width="8.38"/>
  </cols>
  <sheetData>
    <row r="1">
      <c r="A1" s="3" t="s">
        <v>128</v>
      </c>
      <c r="B1" s="59" t="s">
        <v>79</v>
      </c>
      <c r="D1" s="67" t="s">
        <v>128</v>
      </c>
      <c r="E1" s="75" t="s">
        <v>128</v>
      </c>
      <c r="F1" s="75"/>
      <c r="G1" s="75"/>
      <c r="H1" s="75" t="s">
        <v>62</v>
      </c>
    </row>
    <row r="2">
      <c r="B2" s="59"/>
      <c r="C2" s="130"/>
      <c r="D2" s="84"/>
      <c r="E2" s="84"/>
      <c r="F2" s="84"/>
      <c r="G2" s="84"/>
      <c r="H2" s="84"/>
    </row>
    <row r="3">
      <c r="B3" s="59"/>
      <c r="C3" s="130"/>
      <c r="D3" s="84">
        <v>45971.0</v>
      </c>
      <c r="E3" s="84">
        <v>45973.0</v>
      </c>
      <c r="F3" s="84">
        <v>45975.0</v>
      </c>
      <c r="G3" s="84">
        <v>45978.0</v>
      </c>
      <c r="H3" s="84"/>
    </row>
    <row r="4">
      <c r="B4" s="59"/>
      <c r="C4" s="59"/>
      <c r="D4" s="3">
        <v>69.0</v>
      </c>
      <c r="E4" s="3">
        <v>68.5</v>
      </c>
      <c r="F4" s="3">
        <v>68.9</v>
      </c>
      <c r="G4" s="3">
        <v>69.8</v>
      </c>
    </row>
    <row r="5">
      <c r="B5" s="133" t="s">
        <v>56</v>
      </c>
      <c r="C5" s="134">
        <v>8.0</v>
      </c>
      <c r="D5" s="135">
        <v>49.5</v>
      </c>
      <c r="E5" s="136">
        <v>49.5</v>
      </c>
      <c r="F5" s="136">
        <v>49.5</v>
      </c>
      <c r="G5" s="136">
        <v>51.5</v>
      </c>
      <c r="H5" s="161">
        <v>51.5</v>
      </c>
    </row>
    <row r="6">
      <c r="B6" s="140"/>
      <c r="C6" s="59"/>
      <c r="D6" s="67">
        <v>3.0</v>
      </c>
      <c r="E6" s="3">
        <v>4.0</v>
      </c>
      <c r="F6" s="3">
        <v>3.0</v>
      </c>
      <c r="G6" s="3">
        <v>5.0</v>
      </c>
      <c r="H6" s="141">
        <v>3.0</v>
      </c>
    </row>
    <row r="7">
      <c r="B7" s="140" t="s">
        <v>56</v>
      </c>
      <c r="C7" s="59">
        <v>8.0</v>
      </c>
      <c r="D7" s="67">
        <v>49.5</v>
      </c>
      <c r="E7" s="3">
        <v>49.5</v>
      </c>
      <c r="F7" s="3">
        <v>49.5</v>
      </c>
      <c r="G7" s="3">
        <v>51.5</v>
      </c>
      <c r="H7" s="139"/>
    </row>
    <row r="8">
      <c r="B8" s="140"/>
      <c r="C8" s="59"/>
      <c r="D8" s="67">
        <v>3.0</v>
      </c>
      <c r="E8" s="3">
        <v>4.0</v>
      </c>
      <c r="F8" s="3">
        <v>3.0</v>
      </c>
      <c r="G8" s="3">
        <v>5.0</v>
      </c>
      <c r="H8" s="139"/>
    </row>
    <row r="9">
      <c r="B9" s="140" t="s">
        <v>56</v>
      </c>
      <c r="C9" s="59">
        <v>8.0</v>
      </c>
      <c r="D9" s="67">
        <v>49.5</v>
      </c>
      <c r="E9" s="3">
        <v>49.5</v>
      </c>
      <c r="F9" s="3">
        <v>49.5</v>
      </c>
      <c r="G9" s="3">
        <v>51.5</v>
      </c>
      <c r="H9" s="139"/>
    </row>
    <row r="10">
      <c r="B10" s="140"/>
      <c r="C10" s="59"/>
      <c r="D10" s="67">
        <v>3.0</v>
      </c>
      <c r="E10" s="3">
        <v>4.0</v>
      </c>
      <c r="F10" s="3">
        <v>3.0</v>
      </c>
      <c r="G10" s="3">
        <v>5.0</v>
      </c>
      <c r="H10" s="139"/>
    </row>
    <row r="11">
      <c r="A11" s="104" t="s">
        <v>151</v>
      </c>
      <c r="B11" s="140" t="s">
        <v>56</v>
      </c>
      <c r="C11" s="59">
        <v>8.0</v>
      </c>
      <c r="D11" s="67">
        <v>49.5</v>
      </c>
      <c r="E11" s="3">
        <v>49.5</v>
      </c>
      <c r="F11" s="3">
        <v>49.5</v>
      </c>
      <c r="G11" s="3">
        <v>51.5</v>
      </c>
      <c r="H11" s="139"/>
    </row>
    <row r="12">
      <c r="A12" s="80" t="s">
        <v>152</v>
      </c>
      <c r="B12" s="140"/>
      <c r="C12" s="59"/>
      <c r="D12" s="67">
        <v>3.0</v>
      </c>
      <c r="E12" s="3">
        <v>4.0</v>
      </c>
      <c r="F12" s="3">
        <v>3.0</v>
      </c>
      <c r="G12" s="3">
        <v>5.0</v>
      </c>
      <c r="H12" s="139"/>
    </row>
    <row r="13">
      <c r="A13" s="79" t="s">
        <v>153</v>
      </c>
      <c r="B13" s="140" t="s">
        <v>56</v>
      </c>
      <c r="C13" s="59">
        <v>8.0</v>
      </c>
      <c r="D13" s="67">
        <v>49.5</v>
      </c>
      <c r="E13" s="3">
        <v>49.5</v>
      </c>
      <c r="F13" s="3">
        <v>49.5</v>
      </c>
      <c r="G13" s="3">
        <v>51.5</v>
      </c>
      <c r="H13" s="139"/>
    </row>
    <row r="14">
      <c r="B14" s="140"/>
      <c r="C14" s="59"/>
      <c r="D14" s="67">
        <v>3.0</v>
      </c>
      <c r="E14" s="3">
        <v>4.0</v>
      </c>
      <c r="F14" s="3">
        <v>3.0</v>
      </c>
      <c r="G14" s="3">
        <v>5.0</v>
      </c>
      <c r="H14" s="139"/>
    </row>
    <row r="15">
      <c r="B15" s="140" t="s">
        <v>56</v>
      </c>
      <c r="C15" s="59">
        <v>8.0</v>
      </c>
      <c r="D15" s="80">
        <v>49.5</v>
      </c>
      <c r="E15" s="104">
        <v>49.5</v>
      </c>
      <c r="F15" s="104">
        <v>49.5</v>
      </c>
      <c r="G15" s="80">
        <v>51.5</v>
      </c>
      <c r="H15" s="139"/>
    </row>
    <row r="16">
      <c r="B16" s="144"/>
      <c r="C16" s="145"/>
      <c r="D16" s="174">
        <v>3.0</v>
      </c>
      <c r="E16" s="175">
        <v>4.0</v>
      </c>
      <c r="F16" s="175">
        <v>3.0</v>
      </c>
      <c r="G16" s="174">
        <v>5.0</v>
      </c>
      <c r="H16" s="149"/>
    </row>
    <row r="17">
      <c r="B17" s="140" t="s">
        <v>70</v>
      </c>
      <c r="C17" s="59">
        <v>8.0</v>
      </c>
      <c r="D17" s="67">
        <v>39.0</v>
      </c>
      <c r="E17" s="50"/>
      <c r="F17" s="3">
        <v>39.0</v>
      </c>
      <c r="G17" s="3">
        <v>40.0</v>
      </c>
      <c r="H17" s="141">
        <v>40.0</v>
      </c>
    </row>
    <row r="18">
      <c r="B18" s="138"/>
      <c r="C18" s="59"/>
      <c r="D18" s="67">
        <v>8.0</v>
      </c>
      <c r="E18" s="50"/>
      <c r="F18" s="3">
        <v>8.0</v>
      </c>
      <c r="G18" s="3">
        <v>8.0</v>
      </c>
      <c r="H18" s="141">
        <v>8.0</v>
      </c>
    </row>
    <row r="19">
      <c r="B19" s="140" t="s">
        <v>70</v>
      </c>
      <c r="C19" s="59">
        <v>8.0</v>
      </c>
      <c r="D19" s="67">
        <v>39.0</v>
      </c>
      <c r="E19" s="50"/>
      <c r="F19" s="3">
        <v>39.0</v>
      </c>
      <c r="G19" s="3">
        <v>40.0</v>
      </c>
      <c r="H19" s="139"/>
    </row>
    <row r="20">
      <c r="B20" s="138"/>
      <c r="C20" s="59"/>
      <c r="D20" s="67">
        <v>8.0</v>
      </c>
      <c r="E20" s="50"/>
      <c r="F20" s="3">
        <v>8.0</v>
      </c>
      <c r="G20" s="3">
        <v>8.0</v>
      </c>
      <c r="H20" s="139"/>
    </row>
    <row r="21">
      <c r="B21" s="140" t="s">
        <v>70</v>
      </c>
      <c r="C21" s="59">
        <v>8.0</v>
      </c>
      <c r="D21" s="67">
        <v>39.0</v>
      </c>
      <c r="E21" s="50"/>
      <c r="F21" s="3">
        <v>39.0</v>
      </c>
      <c r="G21" s="3">
        <v>40.0</v>
      </c>
      <c r="H21" s="139"/>
    </row>
    <row r="22">
      <c r="B22" s="138"/>
      <c r="C22" s="59"/>
      <c r="D22" s="67">
        <v>8.0</v>
      </c>
      <c r="E22" s="50"/>
      <c r="F22" s="3">
        <v>8.0</v>
      </c>
      <c r="G22" s="3">
        <v>8.0</v>
      </c>
      <c r="H22" s="139"/>
    </row>
    <row r="23">
      <c r="B23" s="140" t="s">
        <v>70</v>
      </c>
      <c r="C23" s="59">
        <v>8.0</v>
      </c>
      <c r="D23" s="79">
        <v>39.0</v>
      </c>
      <c r="E23" s="49"/>
      <c r="F23" s="79">
        <v>39.0</v>
      </c>
      <c r="G23" s="80">
        <v>40.0</v>
      </c>
      <c r="H23" s="141"/>
    </row>
    <row r="24">
      <c r="B24" s="138"/>
      <c r="C24" s="59"/>
      <c r="D24" s="79">
        <v>8.0</v>
      </c>
      <c r="E24" s="50"/>
      <c r="F24" s="79">
        <v>8.0</v>
      </c>
      <c r="G24" s="80">
        <v>8.0</v>
      </c>
      <c r="H24" s="139"/>
    </row>
    <row r="25">
      <c r="B25" s="176" t="s">
        <v>83</v>
      </c>
      <c r="C25" s="177">
        <v>8.0</v>
      </c>
      <c r="D25" s="178"/>
      <c r="E25" s="136">
        <v>22.5</v>
      </c>
      <c r="F25" s="179"/>
      <c r="G25" s="179"/>
      <c r="H25" s="161">
        <v>23.0</v>
      </c>
    </row>
    <row r="26">
      <c r="B26" s="180"/>
      <c r="C26" s="33"/>
      <c r="D26" s="50"/>
      <c r="E26" s="3">
        <v>8.0</v>
      </c>
      <c r="F26" s="49"/>
      <c r="G26" s="49"/>
      <c r="H26" s="141">
        <v>8.0</v>
      </c>
    </row>
    <row r="27">
      <c r="B27" s="181" t="s">
        <v>83</v>
      </c>
      <c r="C27" s="182">
        <v>8.0</v>
      </c>
      <c r="D27" s="49"/>
      <c r="E27" s="3">
        <v>22.5</v>
      </c>
      <c r="F27" s="49"/>
      <c r="G27" s="49"/>
      <c r="H27" s="141"/>
    </row>
    <row r="28">
      <c r="B28" s="180"/>
      <c r="C28" s="33"/>
      <c r="D28" s="50"/>
      <c r="E28" s="3">
        <v>8.0</v>
      </c>
      <c r="F28" s="50"/>
      <c r="G28" s="50"/>
      <c r="H28" s="139"/>
    </row>
    <row r="29">
      <c r="B29" s="181" t="s">
        <v>83</v>
      </c>
      <c r="C29" s="182">
        <v>8.0</v>
      </c>
      <c r="D29" s="50"/>
      <c r="E29" s="3">
        <v>22.5</v>
      </c>
      <c r="F29" s="50"/>
      <c r="G29" s="50"/>
      <c r="H29" s="139"/>
    </row>
    <row r="30">
      <c r="B30" s="180"/>
      <c r="C30" s="33"/>
      <c r="D30" s="49"/>
      <c r="E30" s="3">
        <v>8.0</v>
      </c>
      <c r="F30" s="49"/>
      <c r="G30" s="49"/>
      <c r="H30" s="141"/>
    </row>
    <row r="31">
      <c r="B31" s="181" t="s">
        <v>83</v>
      </c>
      <c r="C31" s="182">
        <v>8.0</v>
      </c>
      <c r="D31" s="49"/>
      <c r="E31" s="79">
        <v>22.5</v>
      </c>
      <c r="F31" s="49"/>
      <c r="G31" s="49"/>
      <c r="H31" s="141"/>
    </row>
    <row r="32">
      <c r="B32" s="180"/>
      <c r="C32" s="33"/>
      <c r="D32" s="49"/>
      <c r="E32" s="79">
        <v>8.0</v>
      </c>
      <c r="F32" s="49"/>
      <c r="G32" s="49"/>
      <c r="H32" s="141"/>
    </row>
    <row r="33">
      <c r="B33" s="133" t="s">
        <v>84</v>
      </c>
      <c r="C33" s="134"/>
      <c r="D33" s="135">
        <v>7.5</v>
      </c>
      <c r="E33" s="178"/>
      <c r="F33" s="136">
        <v>7.5</v>
      </c>
      <c r="G33" s="136">
        <v>10.0</v>
      </c>
      <c r="H33" s="161">
        <v>10.0</v>
      </c>
    </row>
    <row r="34">
      <c r="B34" s="138"/>
      <c r="C34" s="59"/>
      <c r="D34" s="67">
        <v>10.0</v>
      </c>
      <c r="E34" s="49"/>
      <c r="F34" s="3">
        <v>15.0</v>
      </c>
      <c r="G34" s="3">
        <v>10.0</v>
      </c>
      <c r="H34" s="141">
        <v>10.0</v>
      </c>
    </row>
    <row r="35">
      <c r="B35" s="140" t="s">
        <v>84</v>
      </c>
      <c r="C35" s="59"/>
      <c r="D35" s="67">
        <v>7.5</v>
      </c>
      <c r="E35" s="50"/>
      <c r="F35" s="3">
        <v>7.5</v>
      </c>
      <c r="G35" s="3">
        <v>10.0</v>
      </c>
      <c r="H35" s="139"/>
    </row>
    <row r="36">
      <c r="B36" s="138"/>
      <c r="C36" s="59"/>
      <c r="D36" s="67">
        <v>10.0</v>
      </c>
      <c r="E36" s="50"/>
      <c r="F36" s="3">
        <v>15.0</v>
      </c>
      <c r="G36" s="3">
        <v>10.0</v>
      </c>
      <c r="H36" s="139"/>
    </row>
    <row r="37">
      <c r="B37" s="140" t="s">
        <v>84</v>
      </c>
      <c r="C37" s="59"/>
      <c r="D37" s="67">
        <v>7.5</v>
      </c>
      <c r="E37" s="50"/>
      <c r="F37" s="3">
        <v>7.5</v>
      </c>
      <c r="G37" s="3">
        <v>10.0</v>
      </c>
      <c r="H37" s="139"/>
    </row>
    <row r="38">
      <c r="B38" s="138"/>
      <c r="C38" s="59"/>
      <c r="D38" s="67">
        <v>10.0</v>
      </c>
      <c r="E38" s="50"/>
      <c r="F38" s="3">
        <v>15.0</v>
      </c>
      <c r="G38" s="3">
        <v>10.0</v>
      </c>
      <c r="H38" s="139"/>
    </row>
    <row r="39">
      <c r="B39" s="133" t="s">
        <v>147</v>
      </c>
      <c r="C39" s="134">
        <v>4.6</v>
      </c>
      <c r="D39" s="135">
        <v>14.0</v>
      </c>
      <c r="E39" s="178"/>
      <c r="F39" s="136">
        <v>14.0</v>
      </c>
      <c r="G39" s="136">
        <v>14.5</v>
      </c>
      <c r="H39" s="161">
        <v>14.5</v>
      </c>
    </row>
    <row r="40">
      <c r="B40" s="140"/>
      <c r="C40" s="59"/>
      <c r="D40" s="67">
        <v>15.0</v>
      </c>
      <c r="E40" s="50"/>
      <c r="F40" s="3">
        <v>15.0</v>
      </c>
      <c r="G40" s="3">
        <v>15.0</v>
      </c>
      <c r="H40" s="141">
        <v>15.0</v>
      </c>
    </row>
    <row r="41">
      <c r="B41" s="140" t="s">
        <v>147</v>
      </c>
      <c r="C41" s="59">
        <v>4.6</v>
      </c>
      <c r="D41" s="67">
        <v>14.0</v>
      </c>
      <c r="E41" s="50"/>
      <c r="F41" s="3">
        <v>14.0</v>
      </c>
      <c r="G41" s="3">
        <v>14.5</v>
      </c>
      <c r="H41" s="139"/>
    </row>
    <row r="42">
      <c r="B42" s="140"/>
      <c r="C42" s="59"/>
      <c r="D42" s="67">
        <v>15.0</v>
      </c>
      <c r="E42" s="50"/>
      <c r="F42" s="3">
        <v>15.0</v>
      </c>
      <c r="G42" s="3">
        <v>15.0</v>
      </c>
      <c r="H42" s="139"/>
    </row>
    <row r="43">
      <c r="B43" s="140" t="s">
        <v>147</v>
      </c>
      <c r="C43" s="59">
        <v>4.6</v>
      </c>
      <c r="D43" s="67">
        <v>14.0</v>
      </c>
      <c r="E43" s="50"/>
      <c r="F43" s="3">
        <v>14.0</v>
      </c>
      <c r="G43" s="3">
        <v>14.5</v>
      </c>
      <c r="H43" s="139"/>
    </row>
    <row r="44">
      <c r="B44" s="140"/>
      <c r="C44" s="59"/>
      <c r="D44" s="67">
        <v>15.0</v>
      </c>
      <c r="E44" s="50"/>
      <c r="F44" s="3">
        <v>15.0</v>
      </c>
      <c r="G44" s="3">
        <v>15.0</v>
      </c>
      <c r="H44" s="139"/>
    </row>
    <row r="45">
      <c r="B45" s="140" t="s">
        <v>147</v>
      </c>
      <c r="C45" s="59">
        <v>4.6</v>
      </c>
      <c r="D45" s="3">
        <v>14.0</v>
      </c>
      <c r="E45" s="50"/>
      <c r="F45" s="3">
        <v>14.0</v>
      </c>
      <c r="G45" s="3">
        <v>14.5</v>
      </c>
      <c r="H45" s="139"/>
    </row>
    <row r="46">
      <c r="B46" s="140"/>
      <c r="C46" s="59"/>
      <c r="D46" s="3">
        <v>15.0</v>
      </c>
      <c r="E46" s="50"/>
      <c r="F46" s="3">
        <v>15.0</v>
      </c>
      <c r="G46" s="3">
        <v>15.0</v>
      </c>
      <c r="H46" s="139"/>
    </row>
    <row r="47">
      <c r="B47" s="133" t="s">
        <v>73</v>
      </c>
      <c r="C47" s="183"/>
      <c r="D47" s="136">
        <v>5.0</v>
      </c>
      <c r="E47" s="178"/>
      <c r="F47" s="136">
        <v>5.0</v>
      </c>
      <c r="G47" s="136">
        <v>5.0</v>
      </c>
      <c r="H47" s="161">
        <v>5.0</v>
      </c>
    </row>
    <row r="48">
      <c r="B48" s="138"/>
      <c r="C48" s="132"/>
      <c r="D48" s="3">
        <v>15.0</v>
      </c>
      <c r="E48" s="50"/>
      <c r="F48" s="3">
        <v>15.0</v>
      </c>
      <c r="G48" s="3">
        <v>15.0</v>
      </c>
      <c r="H48" s="141">
        <v>15.0</v>
      </c>
    </row>
    <row r="49">
      <c r="B49" s="140" t="s">
        <v>73</v>
      </c>
      <c r="C49" s="132"/>
      <c r="D49" s="3">
        <v>5.0</v>
      </c>
      <c r="E49" s="50"/>
      <c r="F49" s="3">
        <v>5.0</v>
      </c>
      <c r="G49" s="3">
        <v>5.0</v>
      </c>
      <c r="H49" s="139"/>
    </row>
    <row r="50">
      <c r="B50" s="138"/>
      <c r="C50" s="132"/>
      <c r="D50" s="3">
        <v>10.0</v>
      </c>
      <c r="E50" s="50"/>
      <c r="F50" s="3">
        <v>15.0</v>
      </c>
      <c r="G50" s="3">
        <v>15.0</v>
      </c>
      <c r="H50" s="139"/>
    </row>
    <row r="51">
      <c r="B51" s="140" t="s">
        <v>73</v>
      </c>
      <c r="C51" s="132"/>
      <c r="D51" s="3">
        <v>5.0</v>
      </c>
      <c r="E51" s="50"/>
      <c r="F51" s="3">
        <v>5.0</v>
      </c>
      <c r="G51" s="3">
        <v>5.0</v>
      </c>
      <c r="H51" s="139"/>
    </row>
    <row r="52">
      <c r="B52" s="138"/>
      <c r="C52" s="132"/>
      <c r="D52" s="3">
        <v>5.0</v>
      </c>
      <c r="E52" s="50"/>
      <c r="F52" s="3">
        <v>10.0</v>
      </c>
      <c r="G52" s="3">
        <v>11.0</v>
      </c>
      <c r="H52" s="139"/>
    </row>
    <row r="53">
      <c r="A53" s="3" t="s">
        <v>154</v>
      </c>
      <c r="B53" s="176" t="s">
        <v>155</v>
      </c>
      <c r="C53" s="177">
        <v>8.0</v>
      </c>
      <c r="D53" s="178"/>
      <c r="E53" s="136">
        <v>40.0</v>
      </c>
      <c r="F53" s="179"/>
      <c r="G53" s="179"/>
      <c r="H53" s="161">
        <v>41.0</v>
      </c>
    </row>
    <row r="54">
      <c r="B54" s="180"/>
      <c r="C54" s="33"/>
      <c r="D54" s="50"/>
      <c r="E54" s="3">
        <v>5.0</v>
      </c>
      <c r="F54" s="49"/>
      <c r="G54" s="49"/>
      <c r="H54" s="141">
        <v>5.0</v>
      </c>
    </row>
    <row r="55">
      <c r="B55" s="181" t="s">
        <v>155</v>
      </c>
      <c r="C55" s="182">
        <v>8.0</v>
      </c>
      <c r="D55" s="50"/>
      <c r="E55" s="3">
        <v>40.0</v>
      </c>
      <c r="F55" s="50"/>
      <c r="G55" s="50"/>
      <c r="H55" s="139"/>
    </row>
    <row r="56">
      <c r="B56" s="180"/>
      <c r="C56" s="33"/>
      <c r="D56" s="50"/>
      <c r="E56" s="3">
        <v>5.0</v>
      </c>
      <c r="F56" s="50"/>
      <c r="G56" s="50"/>
      <c r="H56" s="139"/>
    </row>
    <row r="57">
      <c r="B57" s="181" t="s">
        <v>155</v>
      </c>
      <c r="C57" s="182">
        <v>8.0</v>
      </c>
      <c r="D57" s="50"/>
      <c r="E57" s="3">
        <v>40.0</v>
      </c>
      <c r="F57" s="50"/>
      <c r="G57" s="50"/>
      <c r="H57" s="139"/>
    </row>
    <row r="58">
      <c r="B58" s="180"/>
      <c r="C58" s="33"/>
      <c r="D58" s="50"/>
      <c r="E58" s="3">
        <v>5.0</v>
      </c>
      <c r="F58" s="50"/>
      <c r="G58" s="50"/>
      <c r="H58" s="139"/>
    </row>
    <row r="59">
      <c r="B59" s="176" t="s">
        <v>86</v>
      </c>
      <c r="C59" s="184"/>
      <c r="D59" s="178"/>
      <c r="E59" s="136">
        <v>10.0</v>
      </c>
      <c r="F59" s="179"/>
      <c r="G59" s="179"/>
      <c r="H59" s="161">
        <v>12.0</v>
      </c>
    </row>
    <row r="60">
      <c r="B60" s="180"/>
      <c r="C60" s="33"/>
      <c r="D60" s="50"/>
      <c r="E60" s="3">
        <v>12.0</v>
      </c>
      <c r="F60" s="49"/>
      <c r="G60" s="49"/>
      <c r="H60" s="141">
        <v>10.0</v>
      </c>
    </row>
    <row r="61">
      <c r="B61" s="181" t="s">
        <v>86</v>
      </c>
      <c r="C61" s="33"/>
      <c r="D61" s="50"/>
      <c r="E61" s="3">
        <v>10.0</v>
      </c>
      <c r="F61" s="50"/>
      <c r="G61" s="50"/>
      <c r="H61" s="139"/>
    </row>
    <row r="62">
      <c r="B62" s="180"/>
      <c r="C62" s="33"/>
      <c r="D62" s="50"/>
      <c r="E62" s="3">
        <v>12.0</v>
      </c>
      <c r="F62" s="50"/>
      <c r="G62" s="50"/>
      <c r="H62" s="139"/>
    </row>
    <row r="63">
      <c r="B63" s="181" t="s">
        <v>86</v>
      </c>
      <c r="C63" s="33"/>
      <c r="D63" s="50"/>
      <c r="E63" s="3">
        <v>10.0</v>
      </c>
      <c r="F63" s="50"/>
      <c r="G63" s="50"/>
      <c r="H63" s="139"/>
    </row>
    <row r="64">
      <c r="B64" s="180"/>
      <c r="C64" s="33"/>
      <c r="D64" s="50"/>
      <c r="E64" s="3">
        <v>12.0</v>
      </c>
      <c r="F64" s="50"/>
      <c r="G64" s="50"/>
      <c r="H64" s="139"/>
    </row>
    <row r="65">
      <c r="B65" s="176" t="s">
        <v>156</v>
      </c>
      <c r="C65" s="184"/>
      <c r="D65" s="178"/>
      <c r="E65" s="136">
        <v>7.5</v>
      </c>
      <c r="F65" s="179"/>
      <c r="G65" s="179"/>
      <c r="H65" s="161" t="s">
        <v>157</v>
      </c>
    </row>
    <row r="66">
      <c r="B66" s="180"/>
      <c r="C66" s="33"/>
      <c r="D66" s="50"/>
      <c r="E66" s="3">
        <v>15.0</v>
      </c>
      <c r="F66" s="49"/>
      <c r="G66" s="49"/>
      <c r="H66" s="141" t="s">
        <v>158</v>
      </c>
    </row>
    <row r="67">
      <c r="B67" s="181" t="s">
        <v>156</v>
      </c>
      <c r="C67" s="33"/>
      <c r="D67" s="50"/>
      <c r="E67" s="3">
        <v>7.5</v>
      </c>
      <c r="F67" s="50"/>
      <c r="G67" s="50"/>
      <c r="H67" s="139"/>
    </row>
    <row r="68">
      <c r="B68" s="180"/>
      <c r="C68" s="33"/>
      <c r="D68" s="50"/>
      <c r="E68" s="3">
        <v>15.0</v>
      </c>
      <c r="F68" s="50"/>
      <c r="G68" s="50"/>
      <c r="H68" s="139"/>
    </row>
    <row r="69">
      <c r="B69" s="181" t="s">
        <v>156</v>
      </c>
      <c r="C69" s="33"/>
      <c r="D69" s="50"/>
      <c r="E69" s="3">
        <v>7.5</v>
      </c>
      <c r="F69" s="50"/>
      <c r="G69" s="50"/>
      <c r="H69" s="139"/>
    </row>
    <row r="70">
      <c r="B70" s="185"/>
      <c r="C70" s="186"/>
      <c r="D70" s="187"/>
      <c r="E70" s="147">
        <v>15.0</v>
      </c>
      <c r="F70" s="187"/>
      <c r="G70" s="187"/>
      <c r="H70" s="149"/>
    </row>
    <row r="71">
      <c r="B71" s="3" t="s">
        <v>62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6" width="4.38"/>
  </cols>
  <sheetData>
    <row r="1">
      <c r="A1" s="3" t="s">
        <v>128</v>
      </c>
      <c r="B1" s="59" t="s">
        <v>159</v>
      </c>
      <c r="D1" s="67" t="s">
        <v>128</v>
      </c>
      <c r="E1" s="75"/>
      <c r="F1" s="75" t="s">
        <v>62</v>
      </c>
    </row>
    <row r="2">
      <c r="B2" s="59"/>
      <c r="C2" s="130"/>
      <c r="D2" s="84"/>
      <c r="E2" s="84"/>
      <c r="F2" s="84"/>
    </row>
    <row r="3">
      <c r="B3" s="59"/>
      <c r="C3" s="130"/>
      <c r="D3" s="84">
        <v>45972.0</v>
      </c>
      <c r="E3" s="84">
        <v>45974.0</v>
      </c>
      <c r="F3" s="84"/>
    </row>
    <row r="4">
      <c r="B4" s="59"/>
      <c r="C4" s="59"/>
      <c r="D4" s="3">
        <v>68.8</v>
      </c>
      <c r="E4" s="3">
        <v>68.5</v>
      </c>
    </row>
    <row r="5">
      <c r="B5" s="188" t="s">
        <v>68</v>
      </c>
      <c r="C5" s="188">
        <v>8.0</v>
      </c>
      <c r="D5" s="188">
        <v>46.0</v>
      </c>
      <c r="E5" s="189">
        <v>46.0</v>
      </c>
      <c r="F5" s="190">
        <v>46.0</v>
      </c>
    </row>
    <row r="6">
      <c r="B6" s="188"/>
      <c r="C6" s="188"/>
      <c r="D6" s="188">
        <v>10.0</v>
      </c>
      <c r="E6" s="189">
        <v>10.0</v>
      </c>
      <c r="F6" s="190">
        <v>10.0</v>
      </c>
    </row>
    <row r="7">
      <c r="B7" s="188" t="s">
        <v>68</v>
      </c>
      <c r="C7" s="188">
        <v>8.0</v>
      </c>
      <c r="D7" s="188">
        <v>55.0</v>
      </c>
      <c r="E7" s="189">
        <v>51.0</v>
      </c>
      <c r="F7" s="190">
        <v>51.0</v>
      </c>
    </row>
    <row r="8">
      <c r="B8" s="188"/>
      <c r="C8" s="188"/>
      <c r="D8" s="188">
        <v>8.0</v>
      </c>
      <c r="E8" s="189">
        <v>8.0</v>
      </c>
      <c r="F8" s="190">
        <v>8.0</v>
      </c>
    </row>
    <row r="9">
      <c r="B9" s="188" t="s">
        <v>68</v>
      </c>
      <c r="C9" s="188">
        <v>8.0</v>
      </c>
      <c r="D9" s="188">
        <v>60.0</v>
      </c>
      <c r="E9" s="188">
        <v>55.0</v>
      </c>
      <c r="F9" s="188">
        <v>55.0</v>
      </c>
    </row>
    <row r="10">
      <c r="B10" s="188"/>
      <c r="C10" s="188"/>
      <c r="D10" s="188">
        <v>6.0</v>
      </c>
      <c r="E10" s="188">
        <v>8.0</v>
      </c>
      <c r="F10" s="188">
        <v>6.0</v>
      </c>
    </row>
    <row r="11">
      <c r="B11" s="188" t="s">
        <v>68</v>
      </c>
      <c r="C11" s="188">
        <v>8.0</v>
      </c>
      <c r="D11" s="188">
        <v>64.0</v>
      </c>
      <c r="E11" s="191">
        <v>60.0</v>
      </c>
      <c r="F11" s="188">
        <v>60.0</v>
      </c>
    </row>
    <row r="12">
      <c r="B12" s="188"/>
      <c r="C12" s="188"/>
      <c r="D12" s="188">
        <v>4.0</v>
      </c>
      <c r="E12" s="191">
        <v>8.0</v>
      </c>
      <c r="F12" s="188">
        <v>6.0</v>
      </c>
    </row>
    <row r="13">
      <c r="B13" s="188" t="s">
        <v>68</v>
      </c>
      <c r="C13" s="188">
        <v>8.0</v>
      </c>
      <c r="D13" s="188"/>
      <c r="E13" s="188"/>
      <c r="F13" s="191">
        <v>64.0</v>
      </c>
    </row>
    <row r="14">
      <c r="B14" s="188"/>
      <c r="C14" s="188"/>
      <c r="D14" s="188"/>
      <c r="E14" s="188"/>
      <c r="F14" s="191">
        <v>6.0</v>
      </c>
    </row>
    <row r="15">
      <c r="B15" s="192" t="s">
        <v>150</v>
      </c>
      <c r="C15" s="192">
        <v>8.0</v>
      </c>
      <c r="D15" s="192">
        <v>22.0</v>
      </c>
      <c r="E15" s="192">
        <v>22.0</v>
      </c>
      <c r="F15" s="192">
        <v>22.0</v>
      </c>
    </row>
    <row r="16">
      <c r="B16" s="192"/>
      <c r="C16" s="192"/>
      <c r="D16" s="192">
        <v>5.0</v>
      </c>
      <c r="E16" s="192">
        <v>5.0</v>
      </c>
      <c r="F16" s="192">
        <v>5.0</v>
      </c>
    </row>
    <row r="17">
      <c r="B17" s="192" t="s">
        <v>150</v>
      </c>
      <c r="C17" s="192">
        <v>8.0</v>
      </c>
      <c r="D17" s="192">
        <v>27.0</v>
      </c>
      <c r="E17" s="192">
        <v>25.0</v>
      </c>
      <c r="F17" s="192">
        <v>25.0</v>
      </c>
    </row>
    <row r="18">
      <c r="B18" s="192"/>
      <c r="C18" s="192"/>
      <c r="D18" s="192">
        <v>5.0</v>
      </c>
      <c r="E18" s="192">
        <v>5.0</v>
      </c>
      <c r="F18" s="192">
        <v>5.0</v>
      </c>
    </row>
    <row r="19">
      <c r="B19" s="192" t="s">
        <v>150</v>
      </c>
      <c r="C19" s="193">
        <v>8.0</v>
      </c>
      <c r="D19" s="193">
        <v>27.0</v>
      </c>
      <c r="E19" s="192">
        <v>27.0</v>
      </c>
      <c r="F19" s="194">
        <v>29.5</v>
      </c>
    </row>
    <row r="20">
      <c r="B20" s="195"/>
      <c r="C20" s="192"/>
      <c r="D20" s="192">
        <v>5.0</v>
      </c>
      <c r="E20" s="192">
        <v>5.0</v>
      </c>
      <c r="F20" s="194">
        <v>5.0</v>
      </c>
    </row>
    <row r="21">
      <c r="B21" s="192" t="s">
        <v>150</v>
      </c>
      <c r="C21" s="193">
        <v>8.0</v>
      </c>
      <c r="D21" s="193">
        <v>27.0</v>
      </c>
      <c r="E21" s="192">
        <v>27.0</v>
      </c>
      <c r="F21" s="194">
        <v>29.5</v>
      </c>
    </row>
    <row r="22">
      <c r="B22" s="195"/>
      <c r="C22" s="192"/>
      <c r="D22" s="192">
        <v>5.0</v>
      </c>
      <c r="E22" s="192">
        <v>5.0</v>
      </c>
      <c r="F22" s="194">
        <v>5.0</v>
      </c>
    </row>
    <row r="23">
      <c r="B23" s="196" t="s">
        <v>65</v>
      </c>
      <c r="C23" s="197">
        <v>8.0</v>
      </c>
      <c r="D23" s="197">
        <v>66.0</v>
      </c>
      <c r="E23" s="198">
        <v>66.0</v>
      </c>
      <c r="F23" s="199">
        <v>71.0</v>
      </c>
    </row>
    <row r="24">
      <c r="B24" s="200"/>
      <c r="C24" s="198"/>
      <c r="D24" s="198">
        <v>1.0</v>
      </c>
      <c r="E24" s="198">
        <v>1.0</v>
      </c>
      <c r="F24" s="198" t="s">
        <v>160</v>
      </c>
    </row>
    <row r="25">
      <c r="B25" s="196"/>
      <c r="C25" s="197"/>
      <c r="D25" s="198">
        <v>1.0</v>
      </c>
      <c r="E25" s="198">
        <v>1.0</v>
      </c>
      <c r="F25" s="201"/>
    </row>
    <row r="26">
      <c r="B26" s="200"/>
      <c r="C26" s="198"/>
      <c r="D26" s="198">
        <v>1.0</v>
      </c>
      <c r="E26" s="198">
        <v>1.0</v>
      </c>
      <c r="F26" s="201"/>
    </row>
    <row r="27">
      <c r="B27" s="196"/>
      <c r="C27" s="197"/>
      <c r="D27" s="198">
        <v>1.0</v>
      </c>
      <c r="E27" s="198">
        <v>1.0</v>
      </c>
      <c r="F27" s="201"/>
    </row>
    <row r="28">
      <c r="B28" s="200"/>
      <c r="C28" s="198"/>
      <c r="D28" s="198">
        <v>1.0</v>
      </c>
      <c r="E28" s="198">
        <v>1.0</v>
      </c>
      <c r="F28" s="201"/>
    </row>
    <row r="29">
      <c r="B29" s="196"/>
      <c r="C29" s="197"/>
      <c r="D29" s="198">
        <v>1.0</v>
      </c>
      <c r="E29" s="198">
        <v>1.0</v>
      </c>
      <c r="F29" s="201"/>
    </row>
    <row r="30">
      <c r="B30" s="200"/>
      <c r="C30" s="198"/>
      <c r="D30" s="198">
        <v>1.0</v>
      </c>
      <c r="E30" s="198">
        <v>1.0</v>
      </c>
      <c r="F30" s="201"/>
    </row>
    <row r="31">
      <c r="B31" s="196"/>
      <c r="C31" s="198"/>
      <c r="D31" s="198">
        <v>1.0</v>
      </c>
      <c r="E31" s="198">
        <v>1.0</v>
      </c>
      <c r="F31" s="201"/>
    </row>
    <row r="32">
      <c r="B32" s="201"/>
      <c r="C32" s="198"/>
      <c r="D32" s="198">
        <v>1.0</v>
      </c>
      <c r="E32" s="198">
        <v>1.0</v>
      </c>
      <c r="F32" s="201"/>
    </row>
    <row r="33">
      <c r="B33" s="196"/>
      <c r="C33" s="197"/>
      <c r="D33" s="198">
        <v>1.0</v>
      </c>
      <c r="E33" s="198">
        <v>1.0</v>
      </c>
      <c r="F33" s="201"/>
    </row>
    <row r="34">
      <c r="B34" s="202"/>
      <c r="C34" s="203"/>
      <c r="D34" s="203">
        <v>1.0</v>
      </c>
      <c r="E34" s="198">
        <v>1.0</v>
      </c>
      <c r="F34" s="201"/>
    </row>
    <row r="35">
      <c r="B35" s="196"/>
      <c r="C35" s="197"/>
      <c r="D35" s="197">
        <v>1.0</v>
      </c>
      <c r="E35" s="198">
        <v>1.0</v>
      </c>
      <c r="F35" s="201"/>
    </row>
    <row r="36">
      <c r="B36" s="144" t="s">
        <v>69</v>
      </c>
      <c r="C36" s="145"/>
      <c r="D36" s="59" t="s">
        <v>44</v>
      </c>
      <c r="E36" s="59" t="s">
        <v>44</v>
      </c>
      <c r="F36" s="132"/>
    </row>
    <row r="37">
      <c r="B37" s="133"/>
      <c r="C37" s="134"/>
      <c r="D37" s="59">
        <v>20.0</v>
      </c>
      <c r="E37" s="59">
        <v>20.0</v>
      </c>
      <c r="F37" s="132"/>
    </row>
    <row r="38">
      <c r="B38" s="144" t="s">
        <v>100</v>
      </c>
      <c r="C38" s="145"/>
      <c r="D38" s="59" t="s">
        <v>46</v>
      </c>
      <c r="E38" s="59" t="s">
        <v>46</v>
      </c>
      <c r="F38" s="132"/>
    </row>
    <row r="39">
      <c r="B39" s="133"/>
      <c r="C39" s="134"/>
      <c r="D39" s="59">
        <v>15.0</v>
      </c>
      <c r="E39" s="59">
        <v>15.0</v>
      </c>
      <c r="F39" s="132"/>
    </row>
    <row r="40">
      <c r="B40" s="140"/>
      <c r="C40" s="59"/>
      <c r="D40" s="59"/>
      <c r="E40" s="59">
        <v>15.0</v>
      </c>
      <c r="F40" s="132"/>
    </row>
    <row r="41">
      <c r="B41" s="144" t="s">
        <v>161</v>
      </c>
      <c r="C41" s="145"/>
      <c r="D41" s="59">
        <v>2.5</v>
      </c>
      <c r="E41" s="59">
        <v>5.0</v>
      </c>
      <c r="F41" s="59"/>
    </row>
    <row r="42">
      <c r="B42" s="140"/>
      <c r="C42" s="132"/>
      <c r="D42" s="59">
        <v>20.0</v>
      </c>
      <c r="E42" s="59">
        <v>15.0</v>
      </c>
      <c r="F42" s="132"/>
    </row>
    <row r="43">
      <c r="B43" s="140"/>
      <c r="C43" s="132"/>
      <c r="D43" s="59"/>
      <c r="E43" s="59">
        <v>15.0</v>
      </c>
      <c r="F43" s="132"/>
    </row>
    <row r="44">
      <c r="B44" s="140" t="s">
        <v>59</v>
      </c>
      <c r="C44" s="132"/>
      <c r="D44" s="59">
        <v>12.0</v>
      </c>
      <c r="E44" s="59">
        <v>12.0</v>
      </c>
      <c r="F44" s="132"/>
    </row>
    <row r="45">
      <c r="B45" s="140"/>
      <c r="C45" s="132"/>
      <c r="D45" s="59">
        <v>15.0</v>
      </c>
      <c r="E45" s="59">
        <v>16.0</v>
      </c>
      <c r="F45" s="132"/>
    </row>
    <row r="46">
      <c r="B46" s="204" t="s">
        <v>162</v>
      </c>
      <c r="C46" s="205"/>
      <c r="D46" s="206">
        <v>0.0</v>
      </c>
      <c r="E46" s="206">
        <v>0.0</v>
      </c>
      <c r="F46" s="206">
        <v>2.5</v>
      </c>
    </row>
    <row r="47">
      <c r="B47" s="204"/>
      <c r="C47" s="205"/>
      <c r="D47" s="206">
        <v>15.0</v>
      </c>
      <c r="E47" s="206">
        <v>20.0</v>
      </c>
      <c r="F47" s="205"/>
    </row>
    <row r="48">
      <c r="A48" s="3" t="s">
        <v>163</v>
      </c>
      <c r="B48" s="204" t="s">
        <v>164</v>
      </c>
      <c r="C48" s="205"/>
      <c r="D48" s="206">
        <v>12.0</v>
      </c>
      <c r="E48" s="206">
        <v>12.0</v>
      </c>
      <c r="F48" s="205"/>
    </row>
    <row r="49">
      <c r="B49" s="205"/>
      <c r="C49" s="205"/>
      <c r="D49" s="206">
        <v>12.0</v>
      </c>
      <c r="E49" s="206">
        <v>15.0</v>
      </c>
      <c r="F49" s="205"/>
    </row>
    <row r="50">
      <c r="A50" s="3" t="s">
        <v>165</v>
      </c>
      <c r="B50" s="206" t="s">
        <v>166</v>
      </c>
      <c r="C50" s="205"/>
      <c r="D50" s="206">
        <v>0.0</v>
      </c>
      <c r="E50" s="206">
        <v>0.0</v>
      </c>
      <c r="F50" s="205"/>
    </row>
    <row r="51">
      <c r="B51" s="205"/>
      <c r="C51" s="205"/>
      <c r="D51" s="206">
        <v>10.0</v>
      </c>
      <c r="E51" s="206">
        <v>12.0</v>
      </c>
      <c r="F51" s="205"/>
    </row>
    <row r="52">
      <c r="A52" s="3" t="s">
        <v>167</v>
      </c>
      <c r="B52" s="206" t="s">
        <v>168</v>
      </c>
      <c r="C52" s="205"/>
      <c r="D52" s="206">
        <v>0.0</v>
      </c>
      <c r="E52" s="206">
        <v>0.0</v>
      </c>
      <c r="F52" s="205"/>
    </row>
    <row r="53">
      <c r="B53" s="205"/>
      <c r="C53" s="205"/>
      <c r="D53" s="206">
        <v>15.0</v>
      </c>
      <c r="E53" s="206">
        <v>18.0</v>
      </c>
      <c r="F53" s="205"/>
    </row>
    <row r="54">
      <c r="A54" s="3" t="s">
        <v>169</v>
      </c>
      <c r="B54" s="206" t="s">
        <v>170</v>
      </c>
      <c r="C54" s="205"/>
      <c r="D54" s="206">
        <v>0.0</v>
      </c>
      <c r="E54" s="206">
        <v>0.0</v>
      </c>
      <c r="F54" s="205"/>
    </row>
    <row r="55">
      <c r="B55" s="205"/>
      <c r="C55" s="205"/>
      <c r="D55" s="206">
        <v>8.0</v>
      </c>
      <c r="E55" s="206">
        <v>12.0</v>
      </c>
      <c r="F55" s="205"/>
    </row>
    <row r="56">
      <c r="B56" s="3" t="s">
        <v>62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59" t="s">
        <v>171</v>
      </c>
      <c r="D1" s="67"/>
      <c r="F1" s="75" t="s">
        <v>62</v>
      </c>
    </row>
    <row r="2">
      <c r="B2" s="59"/>
      <c r="C2" s="130"/>
      <c r="D2" s="84"/>
      <c r="E2" s="84"/>
      <c r="F2" s="75"/>
      <c r="G2" s="84"/>
    </row>
    <row r="3">
      <c r="B3" s="59"/>
      <c r="C3" s="130"/>
      <c r="D3" s="84">
        <v>45912.0</v>
      </c>
      <c r="E3" s="84">
        <v>45915.0</v>
      </c>
      <c r="F3" s="84"/>
      <c r="G3" s="84"/>
    </row>
    <row r="4">
      <c r="B4" s="59"/>
      <c r="C4" s="59"/>
      <c r="D4" s="3">
        <v>67.0</v>
      </c>
      <c r="E4" s="3">
        <v>67.5</v>
      </c>
    </row>
    <row r="5">
      <c r="A5" s="3" t="s">
        <v>172</v>
      </c>
      <c r="B5" s="133" t="s">
        <v>133</v>
      </c>
      <c r="C5" s="134">
        <v>8.0</v>
      </c>
      <c r="D5" s="135">
        <v>20.0</v>
      </c>
    </row>
    <row r="6">
      <c r="B6" s="138"/>
      <c r="C6" s="59"/>
      <c r="D6" s="67">
        <v>5.0</v>
      </c>
    </row>
    <row r="7">
      <c r="A7" s="3" t="s">
        <v>172</v>
      </c>
      <c r="B7" s="133" t="s">
        <v>133</v>
      </c>
      <c r="C7" s="134">
        <v>8.0</v>
      </c>
      <c r="D7" s="67">
        <v>24.0</v>
      </c>
      <c r="H7" s="141"/>
    </row>
    <row r="8">
      <c r="B8" s="138"/>
      <c r="C8" s="59"/>
      <c r="D8" s="67">
        <v>5.0</v>
      </c>
      <c r="H8" s="139"/>
    </row>
    <row r="9">
      <c r="A9" s="3" t="s">
        <v>172</v>
      </c>
      <c r="B9" s="133" t="s">
        <v>133</v>
      </c>
      <c r="C9" s="134">
        <v>8.0</v>
      </c>
      <c r="D9" s="67">
        <v>28.0</v>
      </c>
      <c r="H9" s="139"/>
    </row>
    <row r="10">
      <c r="B10" s="138"/>
      <c r="C10" s="59"/>
      <c r="D10" s="67">
        <v>5.0</v>
      </c>
      <c r="H10" s="139"/>
    </row>
    <row r="11">
      <c r="B11" s="126" t="s">
        <v>133</v>
      </c>
      <c r="C11" s="134">
        <v>8.0</v>
      </c>
      <c r="D11" s="67">
        <v>32.0</v>
      </c>
      <c r="H11" s="141"/>
    </row>
    <row r="12">
      <c r="B12" s="126"/>
      <c r="C12" s="59"/>
      <c r="D12" s="67">
        <v>5.0</v>
      </c>
    </row>
    <row r="13">
      <c r="B13" s="140" t="s">
        <v>133</v>
      </c>
      <c r="C13" s="134">
        <v>8.0</v>
      </c>
      <c r="D13" s="67">
        <v>36.0</v>
      </c>
    </row>
    <row r="14">
      <c r="B14" s="144"/>
      <c r="C14" s="145"/>
      <c r="D14" s="146">
        <v>5.0</v>
      </c>
    </row>
    <row r="15">
      <c r="B15" s="126" t="s">
        <v>173</v>
      </c>
      <c r="C15" s="134">
        <v>8.0</v>
      </c>
      <c r="D15" s="135">
        <v>20.0</v>
      </c>
    </row>
    <row r="16">
      <c r="B16" s="138"/>
      <c r="C16" s="59"/>
      <c r="D16" s="67">
        <v>3.0</v>
      </c>
    </row>
    <row r="17">
      <c r="B17" s="140" t="s">
        <v>133</v>
      </c>
      <c r="C17" s="134">
        <v>8.0</v>
      </c>
      <c r="D17" s="67">
        <v>40.0</v>
      </c>
    </row>
    <row r="18">
      <c r="B18" s="138"/>
      <c r="C18" s="132"/>
      <c r="D18" s="67">
        <v>1.0</v>
      </c>
    </row>
    <row r="19">
      <c r="B19" s="140" t="s">
        <v>133</v>
      </c>
      <c r="C19" s="134">
        <v>8.0</v>
      </c>
      <c r="D19" s="67">
        <v>42.0</v>
      </c>
      <c r="I19" s="15" t="s">
        <v>26</v>
      </c>
      <c r="J19" s="150">
        <v>63.0</v>
      </c>
      <c r="K19" s="3" t="s">
        <v>26</v>
      </c>
      <c r="L19" s="151">
        <f>IF(L20&lt;10, 2*L21 / (1/(1.0278 - 0.0278*L20) + L20^0.1), 2*L21 / ((1 + 0.0333*L20) + L20^0.1))</f>
        <v>48.22102825</v>
      </c>
    </row>
    <row r="20">
      <c r="B20" s="138"/>
      <c r="C20" s="132"/>
      <c r="D20" s="67">
        <v>1.0</v>
      </c>
      <c r="I20" s="15" t="s">
        <v>37</v>
      </c>
      <c r="J20" s="150">
        <v>2.0</v>
      </c>
      <c r="K20" s="3" t="s">
        <v>131</v>
      </c>
      <c r="L20" s="152">
        <v>4.0</v>
      </c>
    </row>
    <row r="21">
      <c r="B21" s="140" t="s">
        <v>133</v>
      </c>
      <c r="C21" s="134">
        <v>8.0</v>
      </c>
      <c r="D21" s="67">
        <v>44.0</v>
      </c>
      <c r="I21" s="15" t="s">
        <v>36</v>
      </c>
      <c r="J21" s="43">
        <f>ROUND(IF(J20&lt;10,AVERAGE(J19/(1.0278-0.0278*J20),J19*J20^0.1),AVERAGE(J19*(1+0.0333*J20),J19*J20^0.1)),1)</f>
        <v>66.2</v>
      </c>
      <c r="K21" s="3" t="s">
        <v>132</v>
      </c>
      <c r="L21" s="152">
        <v>54.0</v>
      </c>
    </row>
    <row r="22">
      <c r="B22" s="138"/>
      <c r="C22" s="132"/>
      <c r="D22" s="67">
        <v>1.0</v>
      </c>
    </row>
    <row r="23">
      <c r="B23" s="140" t="s">
        <v>109</v>
      </c>
      <c r="C23" s="59">
        <v>8.0</v>
      </c>
      <c r="D23" s="67"/>
    </row>
    <row r="24">
      <c r="B24" s="154"/>
      <c r="C24" s="155"/>
      <c r="D24" s="146"/>
      <c r="I24" s="15" t="s">
        <v>26</v>
      </c>
      <c r="J24" s="60">
        <v>48.0</v>
      </c>
    </row>
    <row r="25">
      <c r="B25" s="133" t="s">
        <v>71</v>
      </c>
      <c r="C25" s="134">
        <v>8.0</v>
      </c>
      <c r="E25" s="135">
        <v>30.0</v>
      </c>
      <c r="I25" s="15" t="s">
        <v>37</v>
      </c>
      <c r="J25" s="60">
        <v>4.0</v>
      </c>
    </row>
    <row r="26">
      <c r="B26" s="138"/>
      <c r="C26" s="132"/>
      <c r="E26" s="67">
        <v>3.0</v>
      </c>
      <c r="I26" s="15" t="s">
        <v>36</v>
      </c>
      <c r="J26" s="43">
        <f>ROUND(IF(J25&lt;10,AVERAGE(J24/(1.0278-0.0278*J25),J24*J25^0.1),AVERAGE(J24*(1+0.0333*J25),J24*J25^0.1)),1)</f>
        <v>53.8</v>
      </c>
    </row>
    <row r="27">
      <c r="B27" s="133" t="s">
        <v>71</v>
      </c>
      <c r="C27" s="134">
        <v>8.0</v>
      </c>
      <c r="E27" s="135">
        <v>30.0</v>
      </c>
    </row>
    <row r="28">
      <c r="B28" s="138"/>
      <c r="C28" s="132"/>
      <c r="E28" s="67">
        <v>3.0</v>
      </c>
    </row>
    <row r="29">
      <c r="B29" s="133" t="s">
        <v>71</v>
      </c>
      <c r="C29" s="134">
        <v>8.0</v>
      </c>
      <c r="E29" s="135">
        <v>30.0</v>
      </c>
    </row>
    <row r="30">
      <c r="E30" s="3">
        <v>3.0</v>
      </c>
    </row>
    <row r="31">
      <c r="B31" s="133" t="s">
        <v>71</v>
      </c>
      <c r="C31" s="134">
        <v>8.0</v>
      </c>
      <c r="E31" s="3">
        <v>34.0</v>
      </c>
    </row>
    <row r="32">
      <c r="E32" s="3">
        <v>2.0</v>
      </c>
    </row>
    <row r="33">
      <c r="B33" s="133" t="s">
        <v>71</v>
      </c>
      <c r="C33" s="134">
        <v>8.0</v>
      </c>
      <c r="E33" s="3">
        <v>34.0</v>
      </c>
    </row>
    <row r="34">
      <c r="E34" s="3">
        <v>2.0</v>
      </c>
    </row>
    <row r="35">
      <c r="B35" s="3" t="s">
        <v>71</v>
      </c>
      <c r="C35" s="3">
        <v>8.0</v>
      </c>
      <c r="E35" s="3">
        <v>38.0</v>
      </c>
    </row>
    <row r="36">
      <c r="E36" s="3">
        <v>1.0</v>
      </c>
    </row>
    <row r="37">
      <c r="B37" s="3" t="s">
        <v>56</v>
      </c>
      <c r="C37" s="3">
        <v>8.0</v>
      </c>
      <c r="E37" s="3">
        <v>30.0</v>
      </c>
    </row>
    <row r="38">
      <c r="E38" s="3">
        <v>20.0</v>
      </c>
    </row>
    <row r="49">
      <c r="B49" s="126" t="s">
        <v>62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59" t="s">
        <v>174</v>
      </c>
      <c r="C1" s="130"/>
      <c r="D1" s="84">
        <v>45871.0</v>
      </c>
      <c r="E1" s="75" t="s">
        <v>62</v>
      </c>
    </row>
    <row r="2">
      <c r="B2" s="132"/>
      <c r="C2" s="59"/>
    </row>
    <row r="3">
      <c r="B3" s="133" t="s">
        <v>100</v>
      </c>
      <c r="C3" s="134"/>
      <c r="D3" s="3" t="s">
        <v>46</v>
      </c>
    </row>
    <row r="4">
      <c r="B4" s="138"/>
      <c r="C4" s="59"/>
      <c r="D4" s="3">
        <v>15.0</v>
      </c>
    </row>
    <row r="5">
      <c r="B5" s="133" t="s">
        <v>100</v>
      </c>
      <c r="C5" s="134"/>
      <c r="D5" s="3" t="s">
        <v>46</v>
      </c>
      <c r="E5" s="141"/>
    </row>
    <row r="6">
      <c r="B6" s="138"/>
      <c r="C6" s="59"/>
      <c r="D6" s="3">
        <v>15.0</v>
      </c>
      <c r="E6" s="139"/>
    </row>
    <row r="7">
      <c r="B7" s="133" t="s">
        <v>100</v>
      </c>
      <c r="C7" s="134"/>
      <c r="D7" s="3" t="s">
        <v>46</v>
      </c>
      <c r="E7" s="139"/>
    </row>
    <row r="8">
      <c r="B8" s="138"/>
      <c r="C8" s="59"/>
      <c r="D8" s="3">
        <v>15.0</v>
      </c>
      <c r="E8" s="139"/>
    </row>
    <row r="9">
      <c r="B9" s="126" t="s">
        <v>120</v>
      </c>
      <c r="C9" s="59"/>
      <c r="D9" s="3">
        <v>4.0</v>
      </c>
      <c r="E9" s="141"/>
    </row>
    <row r="10">
      <c r="B10" s="126"/>
      <c r="C10" s="59"/>
      <c r="D10" s="3">
        <v>15.0</v>
      </c>
    </row>
    <row r="11">
      <c r="B11" s="140" t="s">
        <v>120</v>
      </c>
      <c r="C11" s="59"/>
      <c r="D11" s="3">
        <v>4.0</v>
      </c>
    </row>
    <row r="12">
      <c r="B12" s="144"/>
      <c r="C12" s="145"/>
      <c r="D12" s="3">
        <v>15.0</v>
      </c>
    </row>
    <row r="13">
      <c r="B13" s="133" t="s">
        <v>120</v>
      </c>
      <c r="C13" s="134"/>
      <c r="D13" s="3">
        <v>4.0</v>
      </c>
    </row>
    <row r="14">
      <c r="B14" s="138"/>
      <c r="C14" s="59"/>
      <c r="D14" s="3">
        <v>15.0</v>
      </c>
    </row>
    <row r="15">
      <c r="B15" s="140" t="s">
        <v>121</v>
      </c>
      <c r="C15" s="59"/>
      <c r="D15" s="3">
        <v>7.5</v>
      </c>
    </row>
    <row r="16">
      <c r="B16" s="138"/>
      <c r="C16" s="132"/>
      <c r="D16" s="3">
        <v>8.0</v>
      </c>
    </row>
    <row r="17">
      <c r="B17" s="140" t="s">
        <v>121</v>
      </c>
      <c r="C17" s="59"/>
      <c r="D17" s="3">
        <v>7.5</v>
      </c>
      <c r="F17" s="15" t="s">
        <v>26</v>
      </c>
      <c r="G17" s="150">
        <v>63.0</v>
      </c>
      <c r="H17" s="3" t="s">
        <v>26</v>
      </c>
      <c r="I17" s="151">
        <f>IF(I18&lt;10, 2*I19 / (1/(1.0278 - 0.0278*I18) + I18^0.1), 2*I19 / ((1 + 0.0333*I18) + I18^0.1))</f>
        <v>48.22102825</v>
      </c>
    </row>
    <row r="18">
      <c r="B18" s="138"/>
      <c r="C18" s="132"/>
      <c r="D18" s="3">
        <v>8.0</v>
      </c>
      <c r="F18" s="15" t="s">
        <v>37</v>
      </c>
      <c r="G18" s="150">
        <v>2.0</v>
      </c>
      <c r="H18" s="3" t="s">
        <v>131</v>
      </c>
      <c r="I18" s="152">
        <v>4.0</v>
      </c>
    </row>
    <row r="19">
      <c r="B19" s="140" t="s">
        <v>121</v>
      </c>
      <c r="C19" s="59"/>
      <c r="D19" s="3">
        <v>7.5</v>
      </c>
      <c r="F19" s="15" t="s">
        <v>36</v>
      </c>
      <c r="G19" s="43">
        <f>ROUND(IF(G18&lt;10,AVERAGE(G17/(1.0278-0.0278*G18),G17*G18^0.1),AVERAGE(G17*(1+0.0333*G18),G17*G18^0.1)),1)</f>
        <v>66.2</v>
      </c>
      <c r="H19" s="3" t="s">
        <v>132</v>
      </c>
      <c r="I19" s="152">
        <v>54.0</v>
      </c>
    </row>
    <row r="20">
      <c r="B20" s="138"/>
      <c r="C20" s="132"/>
      <c r="D20" s="3">
        <v>8.0</v>
      </c>
    </row>
    <row r="21">
      <c r="B21" s="140" t="s">
        <v>175</v>
      </c>
      <c r="C21" s="59"/>
      <c r="D21" s="3">
        <v>7.5</v>
      </c>
    </row>
    <row r="22">
      <c r="B22" s="140"/>
      <c r="C22" s="155"/>
      <c r="D22" s="3">
        <v>10.0</v>
      </c>
      <c r="F22" s="15" t="s">
        <v>26</v>
      </c>
      <c r="G22" s="60">
        <v>48.0</v>
      </c>
    </row>
    <row r="23">
      <c r="B23" s="140" t="s">
        <v>175</v>
      </c>
      <c r="C23" s="134"/>
      <c r="D23" s="3">
        <v>7.5</v>
      </c>
      <c r="F23" s="15" t="s">
        <v>37</v>
      </c>
      <c r="G23" s="60">
        <v>4.0</v>
      </c>
    </row>
    <row r="24">
      <c r="B24" s="140"/>
      <c r="C24" s="132"/>
      <c r="D24" s="3">
        <v>10.0</v>
      </c>
      <c r="F24" s="15" t="s">
        <v>36</v>
      </c>
      <c r="G24" s="43">
        <f>ROUND(IF(G23&lt;10,AVERAGE(G22/(1.0278-0.0278*G23),G22*G23^0.1),AVERAGE(G22*(1+0.0333*G23),G22*G23^0.1)),1)</f>
        <v>53.8</v>
      </c>
    </row>
    <row r="25">
      <c r="B25" s="140" t="s">
        <v>175</v>
      </c>
      <c r="C25" s="59"/>
      <c r="D25" s="3">
        <v>7.5</v>
      </c>
    </row>
    <row r="26">
      <c r="B26" s="140"/>
      <c r="C26" s="132"/>
      <c r="D26" s="3">
        <v>15.0</v>
      </c>
    </row>
    <row r="27">
      <c r="B27" s="126" t="s">
        <v>62</v>
      </c>
      <c r="C27" s="59"/>
    </row>
    <row r="28">
      <c r="B28" s="138"/>
      <c r="C28" s="132"/>
    </row>
    <row r="29">
      <c r="B29" s="140"/>
      <c r="C29" s="59"/>
    </row>
    <row r="30">
      <c r="B30" s="138"/>
      <c r="C30" s="132"/>
    </row>
    <row r="31">
      <c r="B31" s="140"/>
      <c r="C31" s="59"/>
    </row>
    <row r="32">
      <c r="B32" s="138"/>
      <c r="C32" s="132"/>
    </row>
    <row r="33">
      <c r="B33" s="140"/>
      <c r="C33" s="59"/>
    </row>
    <row r="34">
      <c r="B34" s="138"/>
      <c r="C34" s="132"/>
    </row>
    <row r="35">
      <c r="B35" s="140"/>
      <c r="C35" s="59"/>
    </row>
    <row r="36">
      <c r="B36" s="154"/>
      <c r="C36" s="155"/>
    </row>
    <row r="37">
      <c r="B37" s="167"/>
      <c r="C37" s="134"/>
    </row>
    <row r="38">
      <c r="B38" s="170"/>
      <c r="C38" s="132"/>
    </row>
    <row r="39">
      <c r="B39" s="170"/>
      <c r="C39" s="59"/>
    </row>
    <row r="40">
      <c r="B40" s="170"/>
      <c r="C40" s="132"/>
    </row>
    <row r="41">
      <c r="B41" s="170"/>
      <c r="C41" s="59"/>
    </row>
    <row r="42">
      <c r="B42" s="170"/>
      <c r="C42" s="132"/>
    </row>
    <row r="43">
      <c r="B43" s="170"/>
      <c r="C43" s="59"/>
    </row>
    <row r="44">
      <c r="B44" s="170"/>
      <c r="C44" s="132"/>
    </row>
    <row r="45">
      <c r="A45" s="158"/>
      <c r="B45" s="170"/>
      <c r="C45" s="59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</row>
    <row r="46">
      <c r="A46" s="158"/>
      <c r="B46" s="171"/>
      <c r="C46" s="155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</row>
    <row r="47">
      <c r="B47" s="59"/>
      <c r="C47" s="59"/>
      <c r="R47" s="132"/>
      <c r="S47" s="132"/>
      <c r="T47" s="132"/>
    </row>
    <row r="48">
      <c r="B48" s="132"/>
      <c r="C48" s="132"/>
    </row>
    <row r="49">
      <c r="B49" s="59"/>
      <c r="C49" s="59"/>
    </row>
    <row r="50">
      <c r="B50" s="132"/>
      <c r="C50" s="132"/>
    </row>
    <row r="51">
      <c r="B51" s="59"/>
      <c r="C51" s="59"/>
    </row>
    <row r="52">
      <c r="B52" s="132"/>
      <c r="C52" s="132"/>
    </row>
    <row r="53">
      <c r="B53" s="59"/>
      <c r="C53" s="59"/>
    </row>
    <row r="54">
      <c r="B54" s="132"/>
      <c r="C54" s="132"/>
    </row>
    <row r="55">
      <c r="A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</row>
    <row r="56">
      <c r="B56" s="132"/>
      <c r="C56" s="132"/>
    </row>
    <row r="57">
      <c r="B57" s="132"/>
      <c r="C57" s="132"/>
    </row>
    <row r="58">
      <c r="B58" s="132"/>
      <c r="C58" s="132"/>
    </row>
    <row r="59">
      <c r="B59" s="132"/>
      <c r="C59" s="132"/>
    </row>
    <row r="60">
      <c r="B60" s="132"/>
      <c r="C60" s="132"/>
    </row>
    <row r="61">
      <c r="B61" s="132"/>
      <c r="C61" s="132"/>
    </row>
    <row r="62">
      <c r="B62" s="132"/>
      <c r="C62" s="132"/>
    </row>
    <row r="63">
      <c r="B63" s="132"/>
      <c r="C63" s="132"/>
    </row>
    <row r="64">
      <c r="B64" s="132"/>
      <c r="C64" s="132"/>
    </row>
    <row r="65">
      <c r="B65" s="132"/>
      <c r="C65" s="132"/>
    </row>
    <row r="66">
      <c r="B66" s="132"/>
      <c r="C66" s="132"/>
    </row>
    <row r="67">
      <c r="B67" s="132"/>
      <c r="C67" s="132"/>
    </row>
    <row r="68">
      <c r="B68" s="132"/>
      <c r="C68" s="132"/>
    </row>
    <row r="69">
      <c r="B69" s="132"/>
      <c r="C69" s="132"/>
    </row>
    <row r="70">
      <c r="B70" s="132"/>
      <c r="C70" s="132"/>
    </row>
    <row r="71">
      <c r="B71" s="132"/>
      <c r="C71" s="132"/>
    </row>
    <row r="72">
      <c r="B72" s="132"/>
      <c r="C72" s="132"/>
    </row>
    <row r="73">
      <c r="B73" s="132"/>
      <c r="C73" s="132"/>
    </row>
    <row r="74">
      <c r="B74" s="132"/>
      <c r="C74" s="132"/>
    </row>
    <row r="75">
      <c r="B75" s="132"/>
      <c r="C75" s="132"/>
    </row>
    <row r="76">
      <c r="B76" s="132"/>
      <c r="C76" s="132"/>
    </row>
    <row r="77">
      <c r="B77" s="132"/>
      <c r="C77" s="132"/>
    </row>
    <row r="78">
      <c r="B78" s="132"/>
      <c r="C78" s="132"/>
    </row>
    <row r="79">
      <c r="B79" s="132"/>
      <c r="C79" s="132"/>
    </row>
    <row r="80">
      <c r="B80" s="132"/>
      <c r="C80" s="132"/>
    </row>
    <row r="81">
      <c r="B81" s="132"/>
      <c r="C81" s="132"/>
    </row>
    <row r="82">
      <c r="B82" s="132"/>
      <c r="C82" s="132"/>
    </row>
    <row r="83">
      <c r="B83" s="132"/>
      <c r="C83" s="132"/>
    </row>
    <row r="84">
      <c r="B84" s="132"/>
      <c r="C84" s="132"/>
    </row>
    <row r="85">
      <c r="B85" s="132"/>
      <c r="C85" s="132"/>
    </row>
    <row r="86">
      <c r="B86" s="132"/>
      <c r="C86" s="132"/>
    </row>
    <row r="87">
      <c r="B87" s="132"/>
      <c r="C87" s="132"/>
    </row>
    <row r="88">
      <c r="B88" s="132"/>
      <c r="C88" s="132"/>
    </row>
    <row r="89">
      <c r="B89" s="132"/>
      <c r="C89" s="132"/>
    </row>
    <row r="90">
      <c r="B90" s="132"/>
      <c r="C90" s="132"/>
    </row>
    <row r="91">
      <c r="B91" s="132"/>
      <c r="C91" s="132"/>
    </row>
    <row r="92">
      <c r="B92" s="132"/>
      <c r="C92" s="132"/>
    </row>
    <row r="93">
      <c r="B93" s="132"/>
      <c r="C93" s="132"/>
    </row>
    <row r="94">
      <c r="B94" s="132"/>
      <c r="C94" s="132"/>
    </row>
    <row r="95">
      <c r="B95" s="132"/>
      <c r="C95" s="132"/>
    </row>
    <row r="96">
      <c r="B96" s="132"/>
      <c r="C96" s="132"/>
    </row>
    <row r="97">
      <c r="B97" s="132"/>
      <c r="C97" s="132"/>
    </row>
    <row r="98">
      <c r="B98" s="132"/>
      <c r="C98" s="132"/>
    </row>
    <row r="99">
      <c r="B99" s="132"/>
      <c r="C99" s="132"/>
    </row>
    <row r="100">
      <c r="B100" s="132"/>
      <c r="C100" s="132"/>
    </row>
    <row r="101">
      <c r="B101" s="132"/>
      <c r="C101" s="132"/>
    </row>
    <row r="102">
      <c r="B102" s="132"/>
      <c r="C102" s="132"/>
    </row>
    <row r="103">
      <c r="B103" s="132"/>
      <c r="C103" s="132"/>
    </row>
    <row r="104">
      <c r="B104" s="132"/>
      <c r="C104" s="132"/>
    </row>
    <row r="105">
      <c r="B105" s="132"/>
      <c r="C105" s="132"/>
    </row>
    <row r="106">
      <c r="B106" s="132"/>
      <c r="C106" s="132"/>
    </row>
    <row r="107">
      <c r="B107" s="132"/>
      <c r="C107" s="132"/>
    </row>
    <row r="108">
      <c r="B108" s="132"/>
      <c r="C108" s="132"/>
    </row>
    <row r="109">
      <c r="B109" s="132"/>
      <c r="C109" s="132"/>
    </row>
    <row r="110">
      <c r="B110" s="132"/>
      <c r="C110" s="132"/>
    </row>
    <row r="111">
      <c r="B111" s="132"/>
      <c r="C111" s="132"/>
    </row>
    <row r="112">
      <c r="B112" s="132"/>
      <c r="C112" s="132"/>
    </row>
    <row r="113">
      <c r="B113" s="132"/>
      <c r="C113" s="132"/>
    </row>
    <row r="114">
      <c r="B114" s="132"/>
      <c r="C114" s="132"/>
    </row>
    <row r="115">
      <c r="B115" s="132"/>
      <c r="C115" s="132"/>
    </row>
    <row r="116">
      <c r="B116" s="132"/>
      <c r="C116" s="132"/>
    </row>
    <row r="117">
      <c r="B117" s="132"/>
      <c r="C117" s="132"/>
    </row>
    <row r="118">
      <c r="B118" s="132"/>
      <c r="C118" s="132"/>
    </row>
    <row r="119">
      <c r="B119" s="132"/>
      <c r="C119" s="132"/>
    </row>
    <row r="120">
      <c r="B120" s="132"/>
      <c r="C120" s="132"/>
    </row>
    <row r="121">
      <c r="B121" s="132"/>
      <c r="C121" s="132"/>
    </row>
    <row r="122">
      <c r="B122" s="132"/>
      <c r="C122" s="132"/>
    </row>
    <row r="123">
      <c r="B123" s="132"/>
      <c r="C123" s="132"/>
    </row>
    <row r="124">
      <c r="B124" s="132"/>
      <c r="C124" s="132"/>
    </row>
    <row r="125">
      <c r="B125" s="132"/>
      <c r="C125" s="132"/>
    </row>
    <row r="126">
      <c r="B126" s="132"/>
      <c r="C126" s="132"/>
    </row>
    <row r="127">
      <c r="B127" s="132"/>
      <c r="C127" s="132"/>
    </row>
    <row r="128">
      <c r="B128" s="132"/>
      <c r="C128" s="132"/>
    </row>
    <row r="129">
      <c r="B129" s="132"/>
      <c r="C129" s="132"/>
    </row>
    <row r="130">
      <c r="B130" s="132"/>
      <c r="C130" s="132"/>
    </row>
    <row r="131">
      <c r="B131" s="132"/>
      <c r="C131" s="132"/>
    </row>
    <row r="132">
      <c r="B132" s="132"/>
      <c r="C132" s="132"/>
    </row>
    <row r="133">
      <c r="B133" s="132"/>
      <c r="C133" s="132"/>
    </row>
    <row r="134">
      <c r="B134" s="132"/>
      <c r="C134" s="132"/>
    </row>
    <row r="135">
      <c r="B135" s="132"/>
      <c r="C135" s="132"/>
    </row>
    <row r="136">
      <c r="B136" s="132"/>
      <c r="C136" s="132"/>
    </row>
    <row r="137">
      <c r="B137" s="132"/>
      <c r="C137" s="132"/>
    </row>
    <row r="138">
      <c r="B138" s="132"/>
      <c r="C138" s="132"/>
    </row>
    <row r="139">
      <c r="B139" s="132"/>
      <c r="C139" s="132"/>
    </row>
    <row r="140">
      <c r="B140" s="132"/>
      <c r="C140" s="132"/>
    </row>
    <row r="141">
      <c r="B141" s="132"/>
      <c r="C141" s="132"/>
    </row>
    <row r="142">
      <c r="B142" s="132"/>
      <c r="C142" s="132"/>
    </row>
    <row r="143">
      <c r="B143" s="132"/>
      <c r="C143" s="132"/>
    </row>
    <row r="144">
      <c r="B144" s="132"/>
      <c r="C144" s="132"/>
    </row>
    <row r="145">
      <c r="B145" s="132"/>
      <c r="C145" s="132"/>
    </row>
    <row r="146">
      <c r="B146" s="132"/>
      <c r="C146" s="132"/>
    </row>
    <row r="147">
      <c r="B147" s="132"/>
      <c r="C147" s="132"/>
    </row>
    <row r="148">
      <c r="B148" s="132"/>
      <c r="C148" s="132"/>
    </row>
    <row r="149">
      <c r="B149" s="132"/>
      <c r="C149" s="132"/>
    </row>
    <row r="150">
      <c r="B150" s="132"/>
      <c r="C150" s="132"/>
    </row>
    <row r="151">
      <c r="B151" s="132"/>
      <c r="C151" s="132"/>
    </row>
    <row r="152">
      <c r="B152" s="132"/>
      <c r="C152" s="132"/>
    </row>
    <row r="153">
      <c r="B153" s="132"/>
      <c r="C153" s="132"/>
    </row>
    <row r="154">
      <c r="B154" s="132"/>
      <c r="C154" s="132"/>
    </row>
    <row r="155">
      <c r="B155" s="132"/>
      <c r="C155" s="132"/>
    </row>
    <row r="156">
      <c r="B156" s="132"/>
      <c r="C156" s="132"/>
    </row>
    <row r="157">
      <c r="B157" s="132"/>
      <c r="C157" s="132"/>
    </row>
    <row r="158">
      <c r="B158" s="132"/>
      <c r="C158" s="132"/>
    </row>
    <row r="159">
      <c r="B159" s="132"/>
      <c r="C159" s="132"/>
    </row>
    <row r="160">
      <c r="B160" s="132"/>
      <c r="C160" s="132"/>
    </row>
    <row r="161">
      <c r="B161" s="132"/>
      <c r="C161" s="132"/>
    </row>
    <row r="162">
      <c r="B162" s="132"/>
      <c r="C162" s="132"/>
    </row>
    <row r="163">
      <c r="B163" s="132"/>
      <c r="C163" s="132"/>
    </row>
    <row r="164">
      <c r="B164" s="132"/>
      <c r="C164" s="132"/>
    </row>
    <row r="165">
      <c r="B165" s="132"/>
      <c r="C165" s="132"/>
    </row>
    <row r="166">
      <c r="B166" s="132"/>
      <c r="C166" s="132"/>
    </row>
    <row r="167">
      <c r="B167" s="132"/>
      <c r="C167" s="132"/>
    </row>
    <row r="168">
      <c r="B168" s="132"/>
      <c r="C168" s="132"/>
    </row>
    <row r="169">
      <c r="B169" s="132"/>
      <c r="C169" s="132"/>
    </row>
    <row r="170">
      <c r="B170" s="132"/>
      <c r="C170" s="132"/>
    </row>
    <row r="171">
      <c r="B171" s="132"/>
      <c r="C171" s="132"/>
    </row>
    <row r="172">
      <c r="B172" s="132"/>
      <c r="C172" s="132"/>
    </row>
    <row r="173">
      <c r="B173" s="132"/>
      <c r="C173" s="132"/>
    </row>
    <row r="174">
      <c r="B174" s="132"/>
      <c r="C174" s="132"/>
    </row>
    <row r="175">
      <c r="B175" s="132"/>
      <c r="C175" s="132"/>
    </row>
    <row r="176">
      <c r="B176" s="132"/>
      <c r="C176" s="132"/>
    </row>
    <row r="177">
      <c r="B177" s="132"/>
      <c r="C177" s="132"/>
    </row>
    <row r="178">
      <c r="B178" s="132"/>
      <c r="C178" s="132"/>
    </row>
    <row r="179">
      <c r="B179" s="132"/>
      <c r="C179" s="132"/>
    </row>
    <row r="180">
      <c r="B180" s="132"/>
      <c r="C180" s="132"/>
    </row>
    <row r="181">
      <c r="B181" s="132"/>
      <c r="C181" s="132"/>
    </row>
    <row r="182">
      <c r="B182" s="132"/>
      <c r="C182" s="132"/>
    </row>
    <row r="183">
      <c r="B183" s="132"/>
      <c r="C183" s="132"/>
    </row>
    <row r="184">
      <c r="B184" s="132"/>
      <c r="C184" s="132"/>
    </row>
    <row r="185">
      <c r="B185" s="132"/>
      <c r="C185" s="132"/>
    </row>
    <row r="186">
      <c r="B186" s="132"/>
      <c r="C186" s="132"/>
    </row>
    <row r="187">
      <c r="B187" s="132"/>
      <c r="C187" s="132"/>
    </row>
    <row r="188">
      <c r="B188" s="132"/>
      <c r="C188" s="132"/>
    </row>
    <row r="189">
      <c r="B189" s="132"/>
      <c r="C189" s="132"/>
    </row>
    <row r="190">
      <c r="B190" s="132"/>
      <c r="C190" s="132"/>
    </row>
    <row r="191">
      <c r="B191" s="132"/>
      <c r="C191" s="132"/>
    </row>
    <row r="192">
      <c r="B192" s="132"/>
      <c r="C192" s="132"/>
    </row>
    <row r="193">
      <c r="B193" s="132"/>
      <c r="C193" s="132"/>
    </row>
    <row r="194">
      <c r="B194" s="132"/>
      <c r="C194" s="132"/>
    </row>
    <row r="195">
      <c r="B195" s="132"/>
      <c r="C195" s="132"/>
    </row>
    <row r="196">
      <c r="B196" s="132"/>
      <c r="C196" s="132"/>
    </row>
    <row r="197">
      <c r="B197" s="132"/>
      <c r="C197" s="132"/>
    </row>
    <row r="198">
      <c r="B198" s="132"/>
      <c r="C198" s="132"/>
    </row>
    <row r="199">
      <c r="B199" s="132"/>
      <c r="C199" s="132"/>
    </row>
    <row r="200">
      <c r="B200" s="132"/>
      <c r="C200" s="132"/>
    </row>
    <row r="201">
      <c r="B201" s="132"/>
      <c r="C201" s="132"/>
    </row>
    <row r="202">
      <c r="B202" s="132"/>
      <c r="C202" s="132"/>
    </row>
    <row r="203">
      <c r="B203" s="132"/>
      <c r="C203" s="132"/>
    </row>
    <row r="204">
      <c r="B204" s="132"/>
      <c r="C204" s="132"/>
    </row>
    <row r="205">
      <c r="B205" s="132"/>
      <c r="C205" s="132"/>
    </row>
    <row r="206">
      <c r="B206" s="132"/>
      <c r="C206" s="132"/>
    </row>
    <row r="207">
      <c r="B207" s="132"/>
      <c r="C207" s="132"/>
    </row>
    <row r="208">
      <c r="B208" s="132"/>
      <c r="C208" s="132"/>
    </row>
    <row r="209">
      <c r="B209" s="132"/>
      <c r="C209" s="132"/>
    </row>
    <row r="210">
      <c r="B210" s="132"/>
      <c r="C210" s="132"/>
    </row>
    <row r="211">
      <c r="B211" s="132"/>
      <c r="C211" s="132"/>
    </row>
    <row r="212">
      <c r="B212" s="132"/>
      <c r="C212" s="132"/>
    </row>
    <row r="213">
      <c r="B213" s="132"/>
      <c r="C213" s="132"/>
    </row>
    <row r="214">
      <c r="B214" s="132"/>
      <c r="C214" s="132"/>
    </row>
    <row r="215">
      <c r="B215" s="132"/>
      <c r="C215" s="132"/>
    </row>
    <row r="216">
      <c r="B216" s="132"/>
      <c r="C216" s="132"/>
    </row>
    <row r="217">
      <c r="B217" s="132"/>
      <c r="C217" s="132"/>
    </row>
    <row r="218">
      <c r="B218" s="132"/>
      <c r="C218" s="132"/>
    </row>
    <row r="219">
      <c r="B219" s="132"/>
      <c r="C219" s="132"/>
    </row>
    <row r="220">
      <c r="B220" s="132"/>
      <c r="C220" s="132"/>
    </row>
    <row r="221">
      <c r="B221" s="132"/>
      <c r="C221" s="132"/>
    </row>
    <row r="222">
      <c r="B222" s="132"/>
      <c r="C222" s="132"/>
    </row>
    <row r="223">
      <c r="B223" s="132"/>
      <c r="C223" s="132"/>
    </row>
    <row r="224">
      <c r="B224" s="132"/>
      <c r="C224" s="132"/>
    </row>
    <row r="225">
      <c r="B225" s="132"/>
      <c r="C225" s="132"/>
    </row>
    <row r="226">
      <c r="B226" s="132"/>
      <c r="C226" s="132"/>
    </row>
    <row r="227">
      <c r="B227" s="132"/>
      <c r="C227" s="132"/>
    </row>
    <row r="228">
      <c r="B228" s="132"/>
      <c r="C228" s="132"/>
    </row>
    <row r="229">
      <c r="B229" s="132"/>
      <c r="C229" s="132"/>
    </row>
    <row r="230">
      <c r="B230" s="132"/>
      <c r="C230" s="132"/>
    </row>
    <row r="231">
      <c r="B231" s="132"/>
      <c r="C231" s="132"/>
    </row>
    <row r="232">
      <c r="B232" s="132"/>
      <c r="C232" s="132"/>
    </row>
    <row r="233">
      <c r="B233" s="132"/>
      <c r="C233" s="132"/>
    </row>
    <row r="234">
      <c r="B234" s="132"/>
      <c r="C234" s="132"/>
    </row>
    <row r="235">
      <c r="B235" s="132"/>
      <c r="C235" s="132"/>
    </row>
    <row r="236">
      <c r="B236" s="132"/>
      <c r="C236" s="132"/>
    </row>
    <row r="237">
      <c r="B237" s="132"/>
      <c r="C237" s="132"/>
    </row>
    <row r="238">
      <c r="B238" s="132"/>
      <c r="C238" s="132"/>
    </row>
    <row r="239">
      <c r="B239" s="132"/>
      <c r="C239" s="132"/>
    </row>
    <row r="240">
      <c r="B240" s="132"/>
      <c r="C240" s="132"/>
    </row>
    <row r="241">
      <c r="B241" s="132"/>
      <c r="C241" s="132"/>
    </row>
    <row r="242">
      <c r="B242" s="132"/>
      <c r="C242" s="132"/>
    </row>
    <row r="243">
      <c r="B243" s="132"/>
      <c r="C243" s="132"/>
    </row>
    <row r="244">
      <c r="B244" s="132"/>
      <c r="C244" s="132"/>
    </row>
    <row r="245">
      <c r="B245" s="132"/>
      <c r="C245" s="132"/>
    </row>
    <row r="246">
      <c r="B246" s="132"/>
      <c r="C246" s="132"/>
    </row>
    <row r="247">
      <c r="B247" s="132"/>
      <c r="C247" s="132"/>
    </row>
    <row r="248">
      <c r="B248" s="132"/>
      <c r="C248" s="132"/>
    </row>
    <row r="249">
      <c r="B249" s="132"/>
      <c r="C249" s="132"/>
    </row>
    <row r="250">
      <c r="B250" s="132"/>
      <c r="C250" s="132"/>
    </row>
    <row r="251">
      <c r="B251" s="132"/>
      <c r="C251" s="132"/>
    </row>
    <row r="252">
      <c r="B252" s="132"/>
      <c r="C252" s="132"/>
    </row>
    <row r="253">
      <c r="B253" s="132"/>
      <c r="C253" s="132"/>
    </row>
    <row r="254">
      <c r="B254" s="132"/>
      <c r="C254" s="132"/>
    </row>
    <row r="255">
      <c r="B255" s="132"/>
      <c r="C255" s="132"/>
    </row>
    <row r="256">
      <c r="B256" s="132"/>
      <c r="C256" s="132"/>
    </row>
    <row r="257">
      <c r="B257" s="132"/>
      <c r="C257" s="132"/>
    </row>
    <row r="258">
      <c r="B258" s="132"/>
      <c r="C258" s="132"/>
    </row>
    <row r="259">
      <c r="B259" s="132"/>
      <c r="C259" s="132"/>
    </row>
    <row r="260">
      <c r="B260" s="132"/>
      <c r="C260" s="132"/>
    </row>
    <row r="261">
      <c r="B261" s="132"/>
      <c r="C261" s="132"/>
    </row>
    <row r="262">
      <c r="B262" s="132"/>
      <c r="C262" s="132"/>
    </row>
    <row r="263">
      <c r="B263" s="132"/>
      <c r="C263" s="132"/>
    </row>
    <row r="264">
      <c r="B264" s="132"/>
      <c r="C264" s="132"/>
    </row>
    <row r="265">
      <c r="B265" s="132"/>
      <c r="C265" s="132"/>
    </row>
    <row r="266">
      <c r="B266" s="132"/>
      <c r="C266" s="132"/>
    </row>
    <row r="267">
      <c r="B267" s="132"/>
      <c r="C267" s="132"/>
    </row>
    <row r="268">
      <c r="B268" s="132"/>
      <c r="C268" s="132"/>
    </row>
    <row r="269">
      <c r="B269" s="132"/>
      <c r="C269" s="132"/>
    </row>
    <row r="270">
      <c r="B270" s="132"/>
      <c r="C270" s="132"/>
    </row>
    <row r="271">
      <c r="B271" s="132"/>
      <c r="C271" s="132"/>
    </row>
    <row r="272">
      <c r="B272" s="132"/>
      <c r="C272" s="132"/>
    </row>
    <row r="273">
      <c r="B273" s="132"/>
      <c r="C273" s="132"/>
    </row>
    <row r="274">
      <c r="B274" s="132"/>
      <c r="C274" s="132"/>
    </row>
    <row r="275">
      <c r="B275" s="132"/>
      <c r="C275" s="132"/>
    </row>
    <row r="276">
      <c r="B276" s="132"/>
      <c r="C276" s="132"/>
    </row>
    <row r="277">
      <c r="B277" s="132"/>
      <c r="C277" s="132"/>
    </row>
    <row r="278">
      <c r="B278" s="132"/>
      <c r="C278" s="132"/>
    </row>
    <row r="279">
      <c r="B279" s="132"/>
      <c r="C279" s="132"/>
    </row>
    <row r="280">
      <c r="B280" s="132"/>
      <c r="C280" s="132"/>
    </row>
    <row r="281">
      <c r="B281" s="132"/>
      <c r="C281" s="132"/>
    </row>
    <row r="282">
      <c r="B282" s="132"/>
      <c r="C282" s="132"/>
    </row>
    <row r="283">
      <c r="B283" s="132"/>
      <c r="C283" s="132"/>
    </row>
    <row r="284">
      <c r="B284" s="132"/>
      <c r="C284" s="132"/>
    </row>
    <row r="285">
      <c r="B285" s="132"/>
      <c r="C285" s="132"/>
    </row>
    <row r="286">
      <c r="B286" s="132"/>
      <c r="C286" s="132"/>
    </row>
    <row r="287">
      <c r="B287" s="132"/>
      <c r="C287" s="132"/>
    </row>
    <row r="288">
      <c r="B288" s="132"/>
      <c r="C288" s="132"/>
    </row>
    <row r="289">
      <c r="B289" s="132"/>
      <c r="C289" s="132"/>
    </row>
    <row r="290">
      <c r="B290" s="132"/>
      <c r="C290" s="132"/>
    </row>
    <row r="291">
      <c r="B291" s="132"/>
      <c r="C291" s="132"/>
    </row>
    <row r="292">
      <c r="B292" s="132"/>
      <c r="C292" s="132"/>
    </row>
    <row r="293">
      <c r="B293" s="132"/>
      <c r="C293" s="132"/>
    </row>
    <row r="294">
      <c r="B294" s="132"/>
      <c r="C294" s="132"/>
    </row>
    <row r="295">
      <c r="B295" s="132"/>
      <c r="C295" s="132"/>
    </row>
    <row r="296">
      <c r="B296" s="132"/>
      <c r="C296" s="132"/>
    </row>
    <row r="297">
      <c r="B297" s="132"/>
      <c r="C297" s="132"/>
    </row>
    <row r="298">
      <c r="B298" s="132"/>
      <c r="C298" s="132"/>
    </row>
    <row r="299">
      <c r="B299" s="132"/>
      <c r="C299" s="132"/>
    </row>
    <row r="300">
      <c r="B300" s="132"/>
      <c r="C300" s="132"/>
    </row>
    <row r="301">
      <c r="B301" s="132"/>
      <c r="C301" s="132"/>
    </row>
    <row r="302">
      <c r="B302" s="132"/>
      <c r="C302" s="132"/>
    </row>
    <row r="303">
      <c r="B303" s="132"/>
      <c r="C303" s="132"/>
    </row>
    <row r="304">
      <c r="B304" s="132"/>
      <c r="C304" s="132"/>
    </row>
    <row r="305">
      <c r="B305" s="132"/>
      <c r="C305" s="132"/>
    </row>
    <row r="306">
      <c r="B306" s="132"/>
      <c r="C306" s="132"/>
    </row>
    <row r="307">
      <c r="B307" s="132"/>
      <c r="C307" s="132"/>
    </row>
    <row r="308">
      <c r="B308" s="132"/>
      <c r="C308" s="132"/>
    </row>
    <row r="309">
      <c r="B309" s="132"/>
      <c r="C309" s="132"/>
    </row>
    <row r="310">
      <c r="B310" s="132"/>
      <c r="C310" s="132"/>
    </row>
    <row r="311">
      <c r="B311" s="132"/>
      <c r="C311" s="132"/>
    </row>
    <row r="312">
      <c r="B312" s="132"/>
      <c r="C312" s="132"/>
    </row>
    <row r="313">
      <c r="B313" s="132"/>
      <c r="C313" s="132"/>
    </row>
    <row r="314">
      <c r="B314" s="132"/>
      <c r="C314" s="132"/>
    </row>
    <row r="315">
      <c r="B315" s="132"/>
      <c r="C315" s="132"/>
    </row>
    <row r="316">
      <c r="B316" s="132"/>
      <c r="C316" s="132"/>
    </row>
    <row r="317">
      <c r="B317" s="132"/>
      <c r="C317" s="132"/>
    </row>
    <row r="318">
      <c r="B318" s="132"/>
      <c r="C318" s="132"/>
    </row>
    <row r="319">
      <c r="B319" s="132"/>
      <c r="C319" s="132"/>
    </row>
    <row r="320">
      <c r="B320" s="132"/>
      <c r="C320" s="132"/>
    </row>
    <row r="321">
      <c r="B321" s="132"/>
      <c r="C321" s="132"/>
    </row>
    <row r="322">
      <c r="B322" s="132"/>
      <c r="C322" s="132"/>
    </row>
    <row r="323">
      <c r="B323" s="132"/>
      <c r="C323" s="132"/>
    </row>
    <row r="324">
      <c r="B324" s="132"/>
      <c r="C324" s="132"/>
    </row>
    <row r="325">
      <c r="B325" s="132"/>
      <c r="C325" s="132"/>
    </row>
    <row r="326">
      <c r="B326" s="132"/>
      <c r="C326" s="132"/>
    </row>
    <row r="327">
      <c r="B327" s="132"/>
      <c r="C327" s="132"/>
    </row>
    <row r="328">
      <c r="B328" s="132"/>
      <c r="C328" s="132"/>
    </row>
    <row r="329">
      <c r="B329" s="132"/>
      <c r="C329" s="132"/>
    </row>
    <row r="330">
      <c r="B330" s="132"/>
      <c r="C330" s="132"/>
    </row>
    <row r="331">
      <c r="B331" s="132"/>
      <c r="C331" s="132"/>
    </row>
    <row r="332">
      <c r="B332" s="132"/>
      <c r="C332" s="132"/>
    </row>
    <row r="333">
      <c r="B333" s="132"/>
      <c r="C333" s="132"/>
    </row>
    <row r="334">
      <c r="B334" s="132"/>
      <c r="C334" s="132"/>
    </row>
    <row r="335">
      <c r="B335" s="132"/>
      <c r="C335" s="132"/>
    </row>
    <row r="336">
      <c r="B336" s="132"/>
      <c r="C336" s="132"/>
    </row>
    <row r="337">
      <c r="B337" s="132"/>
      <c r="C337" s="132"/>
    </row>
    <row r="338">
      <c r="B338" s="132"/>
      <c r="C338" s="132"/>
    </row>
    <row r="339">
      <c r="B339" s="132"/>
      <c r="C339" s="132"/>
    </row>
    <row r="340">
      <c r="B340" s="132"/>
      <c r="C340" s="132"/>
    </row>
    <row r="341">
      <c r="B341" s="132"/>
      <c r="C341" s="132"/>
    </row>
    <row r="342">
      <c r="B342" s="132"/>
      <c r="C342" s="132"/>
    </row>
    <row r="343">
      <c r="B343" s="132"/>
      <c r="C343" s="132"/>
    </row>
    <row r="344">
      <c r="B344" s="132"/>
      <c r="C344" s="132"/>
    </row>
    <row r="345">
      <c r="B345" s="132"/>
      <c r="C345" s="132"/>
    </row>
    <row r="346">
      <c r="B346" s="132"/>
      <c r="C346" s="132"/>
    </row>
    <row r="347">
      <c r="B347" s="132"/>
      <c r="C347" s="132"/>
    </row>
    <row r="348">
      <c r="B348" s="132"/>
      <c r="C348" s="132"/>
    </row>
    <row r="349">
      <c r="B349" s="132"/>
      <c r="C349" s="132"/>
    </row>
    <row r="350">
      <c r="B350" s="132"/>
      <c r="C350" s="132"/>
    </row>
    <row r="351">
      <c r="B351" s="132"/>
      <c r="C351" s="132"/>
    </row>
    <row r="352">
      <c r="B352" s="132"/>
      <c r="C352" s="132"/>
    </row>
    <row r="353">
      <c r="B353" s="132"/>
      <c r="C353" s="132"/>
    </row>
    <row r="354">
      <c r="B354" s="132"/>
      <c r="C354" s="132"/>
    </row>
    <row r="355">
      <c r="B355" s="132"/>
      <c r="C355" s="132"/>
    </row>
    <row r="356">
      <c r="B356" s="132"/>
      <c r="C356" s="132"/>
    </row>
    <row r="357">
      <c r="B357" s="132"/>
      <c r="C357" s="132"/>
    </row>
    <row r="358">
      <c r="B358" s="132"/>
      <c r="C358" s="132"/>
    </row>
    <row r="359">
      <c r="B359" s="132"/>
      <c r="C359" s="132"/>
    </row>
    <row r="360">
      <c r="B360" s="132"/>
      <c r="C360" s="132"/>
    </row>
    <row r="361">
      <c r="B361" s="132"/>
      <c r="C361" s="132"/>
    </row>
    <row r="362">
      <c r="B362" s="132"/>
      <c r="C362" s="132"/>
    </row>
    <row r="363">
      <c r="B363" s="132"/>
      <c r="C363" s="132"/>
    </row>
    <row r="364">
      <c r="B364" s="132"/>
      <c r="C364" s="132"/>
    </row>
    <row r="365">
      <c r="B365" s="132"/>
      <c r="C365" s="132"/>
    </row>
    <row r="366">
      <c r="B366" s="132"/>
      <c r="C366" s="132"/>
    </row>
    <row r="367">
      <c r="B367" s="132"/>
      <c r="C367" s="132"/>
    </row>
    <row r="368">
      <c r="B368" s="132"/>
      <c r="C368" s="132"/>
    </row>
    <row r="369">
      <c r="B369" s="132"/>
      <c r="C369" s="132"/>
    </row>
    <row r="370">
      <c r="B370" s="132"/>
      <c r="C370" s="132"/>
    </row>
    <row r="371">
      <c r="B371" s="132"/>
      <c r="C371" s="132"/>
    </row>
    <row r="372">
      <c r="B372" s="132"/>
      <c r="C372" s="132"/>
    </row>
    <row r="373">
      <c r="B373" s="132"/>
      <c r="C373" s="132"/>
    </row>
    <row r="374">
      <c r="B374" s="132"/>
      <c r="C374" s="132"/>
    </row>
    <row r="375">
      <c r="B375" s="132"/>
      <c r="C375" s="132"/>
    </row>
    <row r="376">
      <c r="B376" s="132"/>
      <c r="C376" s="132"/>
    </row>
    <row r="377">
      <c r="B377" s="132"/>
      <c r="C377" s="132"/>
    </row>
    <row r="378">
      <c r="B378" s="132"/>
      <c r="C378" s="132"/>
    </row>
    <row r="379">
      <c r="B379" s="132"/>
      <c r="C379" s="132"/>
    </row>
    <row r="380">
      <c r="B380" s="132"/>
      <c r="C380" s="132"/>
    </row>
    <row r="381">
      <c r="B381" s="132"/>
      <c r="C381" s="132"/>
    </row>
    <row r="382">
      <c r="B382" s="132"/>
      <c r="C382" s="132"/>
    </row>
    <row r="383">
      <c r="B383" s="132"/>
      <c r="C383" s="132"/>
    </row>
    <row r="384">
      <c r="B384" s="132"/>
      <c r="C384" s="132"/>
    </row>
    <row r="385">
      <c r="B385" s="132"/>
      <c r="C385" s="132"/>
    </row>
    <row r="386">
      <c r="B386" s="132"/>
      <c r="C386" s="132"/>
    </row>
    <row r="387">
      <c r="B387" s="132"/>
      <c r="C387" s="132"/>
    </row>
    <row r="388">
      <c r="B388" s="132"/>
      <c r="C388" s="132"/>
    </row>
    <row r="389">
      <c r="B389" s="132"/>
      <c r="C389" s="132"/>
    </row>
    <row r="390">
      <c r="B390" s="132"/>
      <c r="C390" s="132"/>
    </row>
    <row r="391">
      <c r="B391" s="132"/>
      <c r="C391" s="132"/>
    </row>
    <row r="392">
      <c r="B392" s="132"/>
      <c r="C392" s="132"/>
    </row>
    <row r="393">
      <c r="B393" s="132"/>
      <c r="C393" s="132"/>
    </row>
    <row r="394">
      <c r="B394" s="132"/>
      <c r="C394" s="132"/>
    </row>
    <row r="395">
      <c r="B395" s="132"/>
      <c r="C395" s="132"/>
    </row>
    <row r="396">
      <c r="B396" s="132"/>
      <c r="C396" s="132"/>
    </row>
    <row r="397">
      <c r="B397" s="132"/>
      <c r="C397" s="132"/>
    </row>
    <row r="398">
      <c r="B398" s="132"/>
      <c r="C398" s="132"/>
    </row>
    <row r="399">
      <c r="B399" s="132"/>
      <c r="C399" s="132"/>
    </row>
    <row r="400">
      <c r="B400" s="132"/>
      <c r="C400" s="132"/>
    </row>
    <row r="401">
      <c r="B401" s="132"/>
      <c r="C401" s="132"/>
    </row>
    <row r="402">
      <c r="B402" s="132"/>
      <c r="C402" s="132"/>
    </row>
    <row r="403">
      <c r="B403" s="132"/>
      <c r="C403" s="132"/>
    </row>
    <row r="404">
      <c r="B404" s="132"/>
      <c r="C404" s="132"/>
    </row>
    <row r="405">
      <c r="B405" s="132"/>
      <c r="C405" s="132"/>
    </row>
    <row r="406">
      <c r="B406" s="132"/>
      <c r="C406" s="132"/>
    </row>
    <row r="407">
      <c r="B407" s="132"/>
      <c r="C407" s="132"/>
    </row>
    <row r="408">
      <c r="B408" s="132"/>
      <c r="C408" s="132"/>
    </row>
    <row r="409">
      <c r="B409" s="132"/>
      <c r="C409" s="132"/>
    </row>
    <row r="410">
      <c r="B410" s="132"/>
      <c r="C410" s="132"/>
    </row>
    <row r="411">
      <c r="B411" s="132"/>
      <c r="C411" s="132"/>
    </row>
    <row r="412">
      <c r="B412" s="132"/>
      <c r="C412" s="132"/>
    </row>
    <row r="413">
      <c r="B413" s="132"/>
      <c r="C413" s="132"/>
    </row>
    <row r="414">
      <c r="B414" s="132"/>
      <c r="C414" s="132"/>
    </row>
    <row r="415">
      <c r="B415" s="132"/>
      <c r="C415" s="132"/>
    </row>
    <row r="416">
      <c r="B416" s="132"/>
      <c r="C416" s="132"/>
    </row>
    <row r="417">
      <c r="B417" s="132"/>
      <c r="C417" s="132"/>
    </row>
    <row r="418">
      <c r="B418" s="132"/>
      <c r="C418" s="132"/>
    </row>
    <row r="419">
      <c r="B419" s="132"/>
      <c r="C419" s="132"/>
    </row>
    <row r="420">
      <c r="B420" s="132"/>
      <c r="C420" s="132"/>
    </row>
    <row r="421">
      <c r="B421" s="132"/>
      <c r="C421" s="132"/>
    </row>
    <row r="422">
      <c r="B422" s="132"/>
      <c r="C422" s="132"/>
    </row>
    <row r="423">
      <c r="B423" s="132"/>
      <c r="C423" s="132"/>
    </row>
    <row r="424">
      <c r="B424" s="132"/>
      <c r="C424" s="132"/>
    </row>
    <row r="425">
      <c r="B425" s="132"/>
      <c r="C425" s="132"/>
    </row>
    <row r="426">
      <c r="B426" s="132"/>
      <c r="C426" s="132"/>
    </row>
    <row r="427">
      <c r="B427" s="132"/>
      <c r="C427" s="132"/>
    </row>
    <row r="428">
      <c r="B428" s="132"/>
      <c r="C428" s="132"/>
    </row>
    <row r="429">
      <c r="B429" s="132"/>
      <c r="C429" s="132"/>
    </row>
    <row r="430">
      <c r="B430" s="132"/>
      <c r="C430" s="132"/>
    </row>
    <row r="431">
      <c r="B431" s="132"/>
      <c r="C431" s="132"/>
    </row>
    <row r="432">
      <c r="B432" s="132"/>
      <c r="C432" s="132"/>
    </row>
    <row r="433">
      <c r="B433" s="132"/>
      <c r="C433" s="132"/>
    </row>
    <row r="434">
      <c r="B434" s="132"/>
      <c r="C434" s="132"/>
    </row>
    <row r="435">
      <c r="B435" s="132"/>
      <c r="C435" s="132"/>
    </row>
    <row r="436">
      <c r="B436" s="132"/>
      <c r="C436" s="132"/>
    </row>
    <row r="437">
      <c r="B437" s="132"/>
      <c r="C437" s="132"/>
    </row>
    <row r="438">
      <c r="B438" s="132"/>
      <c r="C438" s="132"/>
    </row>
    <row r="439">
      <c r="B439" s="132"/>
      <c r="C439" s="132"/>
    </row>
    <row r="440">
      <c r="B440" s="132"/>
      <c r="C440" s="132"/>
    </row>
    <row r="441">
      <c r="B441" s="132"/>
      <c r="C441" s="132"/>
    </row>
    <row r="442">
      <c r="B442" s="132"/>
      <c r="C442" s="132"/>
    </row>
    <row r="443">
      <c r="B443" s="132"/>
      <c r="C443" s="132"/>
    </row>
    <row r="444">
      <c r="B444" s="132"/>
      <c r="C444" s="132"/>
    </row>
    <row r="445">
      <c r="B445" s="132"/>
      <c r="C445" s="132"/>
    </row>
    <row r="446">
      <c r="B446" s="132"/>
      <c r="C446" s="132"/>
    </row>
    <row r="447">
      <c r="B447" s="132"/>
      <c r="C447" s="132"/>
    </row>
    <row r="448">
      <c r="B448" s="132"/>
      <c r="C448" s="132"/>
    </row>
    <row r="449">
      <c r="B449" s="132"/>
      <c r="C449" s="132"/>
    </row>
    <row r="450">
      <c r="B450" s="132"/>
      <c r="C450" s="132"/>
    </row>
    <row r="451">
      <c r="B451" s="132"/>
      <c r="C451" s="132"/>
    </row>
    <row r="452">
      <c r="B452" s="132"/>
      <c r="C452" s="132"/>
    </row>
    <row r="453">
      <c r="B453" s="132"/>
      <c r="C453" s="132"/>
    </row>
    <row r="454">
      <c r="B454" s="132"/>
      <c r="C454" s="132"/>
    </row>
    <row r="455">
      <c r="B455" s="132"/>
      <c r="C455" s="132"/>
    </row>
    <row r="456">
      <c r="B456" s="132"/>
      <c r="C456" s="132"/>
    </row>
    <row r="457">
      <c r="B457" s="132"/>
      <c r="C457" s="132"/>
    </row>
    <row r="458">
      <c r="B458" s="132"/>
      <c r="C458" s="132"/>
    </row>
    <row r="459">
      <c r="B459" s="132"/>
      <c r="C459" s="132"/>
    </row>
    <row r="460">
      <c r="B460" s="132"/>
      <c r="C460" s="132"/>
    </row>
    <row r="461">
      <c r="B461" s="132"/>
      <c r="C461" s="132"/>
    </row>
    <row r="462">
      <c r="B462" s="132"/>
      <c r="C462" s="132"/>
    </row>
    <row r="463">
      <c r="B463" s="132"/>
      <c r="C463" s="132"/>
    </row>
    <row r="464">
      <c r="B464" s="132"/>
      <c r="C464" s="132"/>
    </row>
    <row r="465">
      <c r="B465" s="132"/>
      <c r="C465" s="132"/>
    </row>
    <row r="466">
      <c r="B466" s="132"/>
      <c r="C466" s="132"/>
    </row>
    <row r="467">
      <c r="B467" s="132"/>
      <c r="C467" s="132"/>
    </row>
    <row r="468">
      <c r="B468" s="132"/>
      <c r="C468" s="132"/>
    </row>
    <row r="469">
      <c r="B469" s="132"/>
      <c r="C469" s="132"/>
    </row>
    <row r="470">
      <c r="B470" s="132"/>
      <c r="C470" s="132"/>
    </row>
    <row r="471">
      <c r="B471" s="132"/>
      <c r="C471" s="132"/>
    </row>
    <row r="472">
      <c r="B472" s="132"/>
      <c r="C472" s="132"/>
    </row>
    <row r="473">
      <c r="B473" s="132"/>
      <c r="C473" s="132"/>
    </row>
    <row r="474">
      <c r="B474" s="132"/>
      <c r="C474" s="132"/>
    </row>
    <row r="475">
      <c r="B475" s="132"/>
      <c r="C475" s="132"/>
    </row>
    <row r="476">
      <c r="B476" s="132"/>
      <c r="C476" s="132"/>
    </row>
    <row r="477">
      <c r="B477" s="132"/>
      <c r="C477" s="132"/>
    </row>
    <row r="478">
      <c r="B478" s="132"/>
      <c r="C478" s="132"/>
    </row>
    <row r="479">
      <c r="B479" s="132"/>
      <c r="C479" s="132"/>
    </row>
    <row r="480">
      <c r="B480" s="132"/>
      <c r="C480" s="132"/>
    </row>
    <row r="481">
      <c r="B481" s="132"/>
      <c r="C481" s="132"/>
    </row>
    <row r="482">
      <c r="B482" s="132"/>
      <c r="C482" s="132"/>
    </row>
    <row r="483">
      <c r="B483" s="132"/>
      <c r="C483" s="132"/>
    </row>
    <row r="484">
      <c r="B484" s="132"/>
      <c r="C484" s="132"/>
    </row>
    <row r="485">
      <c r="B485" s="132"/>
      <c r="C485" s="132"/>
    </row>
    <row r="486">
      <c r="B486" s="132"/>
      <c r="C486" s="132"/>
    </row>
    <row r="487">
      <c r="B487" s="132"/>
      <c r="C487" s="132"/>
    </row>
    <row r="488">
      <c r="B488" s="132"/>
      <c r="C488" s="132"/>
    </row>
    <row r="489">
      <c r="B489" s="132"/>
      <c r="C489" s="132"/>
    </row>
    <row r="490">
      <c r="B490" s="132"/>
      <c r="C490" s="132"/>
    </row>
    <row r="491">
      <c r="B491" s="132"/>
      <c r="C491" s="132"/>
    </row>
    <row r="492">
      <c r="B492" s="132"/>
      <c r="C492" s="132"/>
    </row>
    <row r="493">
      <c r="B493" s="132"/>
      <c r="C493" s="132"/>
    </row>
    <row r="494">
      <c r="B494" s="132"/>
      <c r="C494" s="132"/>
    </row>
    <row r="495">
      <c r="B495" s="132"/>
      <c r="C495" s="132"/>
    </row>
    <row r="496">
      <c r="B496" s="132"/>
      <c r="C496" s="132"/>
    </row>
    <row r="497">
      <c r="B497" s="132"/>
      <c r="C497" s="132"/>
    </row>
    <row r="498">
      <c r="B498" s="132"/>
      <c r="C498" s="132"/>
    </row>
    <row r="499">
      <c r="B499" s="132"/>
      <c r="C499" s="132"/>
    </row>
    <row r="500">
      <c r="B500" s="132"/>
      <c r="C500" s="132"/>
    </row>
    <row r="501">
      <c r="B501" s="132"/>
      <c r="C501" s="132"/>
    </row>
    <row r="502">
      <c r="B502" s="132"/>
      <c r="C502" s="132"/>
    </row>
    <row r="503">
      <c r="B503" s="132"/>
      <c r="C503" s="132"/>
    </row>
    <row r="504">
      <c r="B504" s="132"/>
      <c r="C504" s="132"/>
    </row>
    <row r="505">
      <c r="B505" s="132"/>
      <c r="C505" s="132"/>
    </row>
    <row r="506">
      <c r="B506" s="132"/>
      <c r="C506" s="132"/>
    </row>
    <row r="507">
      <c r="B507" s="132"/>
      <c r="C507" s="132"/>
    </row>
    <row r="508">
      <c r="B508" s="132"/>
      <c r="C508" s="132"/>
    </row>
    <row r="509">
      <c r="B509" s="132"/>
      <c r="C509" s="132"/>
    </row>
    <row r="510">
      <c r="B510" s="132"/>
      <c r="C510" s="132"/>
    </row>
    <row r="511">
      <c r="B511" s="132"/>
      <c r="C511" s="132"/>
    </row>
    <row r="512">
      <c r="B512" s="132"/>
      <c r="C512" s="132"/>
    </row>
    <row r="513">
      <c r="B513" s="132"/>
      <c r="C513" s="132"/>
    </row>
    <row r="514">
      <c r="B514" s="132"/>
      <c r="C514" s="132"/>
    </row>
    <row r="515">
      <c r="B515" s="132"/>
      <c r="C515" s="132"/>
    </row>
    <row r="516">
      <c r="B516" s="132"/>
      <c r="C516" s="132"/>
    </row>
    <row r="517">
      <c r="B517" s="132"/>
      <c r="C517" s="132"/>
    </row>
    <row r="518">
      <c r="B518" s="132"/>
      <c r="C518" s="132"/>
    </row>
    <row r="519">
      <c r="B519" s="132"/>
      <c r="C519" s="132"/>
    </row>
    <row r="520">
      <c r="B520" s="132"/>
      <c r="C520" s="132"/>
    </row>
    <row r="521">
      <c r="B521" s="132"/>
      <c r="C521" s="132"/>
    </row>
    <row r="522">
      <c r="B522" s="132"/>
      <c r="C522" s="132"/>
    </row>
    <row r="523">
      <c r="B523" s="132"/>
      <c r="C523" s="132"/>
    </row>
    <row r="524">
      <c r="B524" s="132"/>
      <c r="C524" s="132"/>
    </row>
    <row r="525">
      <c r="B525" s="132"/>
      <c r="C525" s="132"/>
    </row>
    <row r="526">
      <c r="B526" s="132"/>
      <c r="C526" s="132"/>
    </row>
    <row r="527">
      <c r="B527" s="132"/>
      <c r="C527" s="132"/>
    </row>
    <row r="528">
      <c r="B528" s="132"/>
      <c r="C528" s="132"/>
    </row>
    <row r="529">
      <c r="B529" s="132"/>
      <c r="C529" s="132"/>
    </row>
    <row r="530">
      <c r="B530" s="132"/>
      <c r="C530" s="132"/>
    </row>
    <row r="531">
      <c r="B531" s="132"/>
      <c r="C531" s="132"/>
    </row>
    <row r="532">
      <c r="B532" s="132"/>
      <c r="C532" s="132"/>
    </row>
    <row r="533">
      <c r="B533" s="132"/>
      <c r="C533" s="132"/>
    </row>
    <row r="534">
      <c r="B534" s="132"/>
      <c r="C534" s="132"/>
    </row>
    <row r="535">
      <c r="B535" s="132"/>
      <c r="C535" s="132"/>
    </row>
    <row r="536">
      <c r="B536" s="132"/>
      <c r="C536" s="132"/>
    </row>
    <row r="537">
      <c r="B537" s="132"/>
      <c r="C537" s="132"/>
    </row>
    <row r="538">
      <c r="B538" s="132"/>
      <c r="C538" s="132"/>
    </row>
    <row r="539">
      <c r="B539" s="132"/>
      <c r="C539" s="132"/>
    </row>
    <row r="540">
      <c r="B540" s="132"/>
      <c r="C540" s="132"/>
    </row>
    <row r="541">
      <c r="B541" s="132"/>
      <c r="C541" s="132"/>
    </row>
    <row r="542">
      <c r="B542" s="132"/>
      <c r="C542" s="132"/>
    </row>
    <row r="543">
      <c r="B543" s="132"/>
      <c r="C543" s="132"/>
    </row>
    <row r="544">
      <c r="B544" s="132"/>
      <c r="C544" s="132"/>
    </row>
    <row r="545">
      <c r="B545" s="132"/>
      <c r="C545" s="132"/>
    </row>
    <row r="546">
      <c r="B546" s="132"/>
      <c r="C546" s="132"/>
    </row>
    <row r="547">
      <c r="B547" s="132"/>
      <c r="C547" s="132"/>
    </row>
    <row r="548">
      <c r="B548" s="132"/>
      <c r="C548" s="132"/>
    </row>
    <row r="549">
      <c r="B549" s="132"/>
      <c r="C549" s="132"/>
    </row>
    <row r="550">
      <c r="B550" s="132"/>
      <c r="C550" s="132"/>
    </row>
    <row r="551">
      <c r="B551" s="132"/>
      <c r="C551" s="132"/>
    </row>
    <row r="552">
      <c r="B552" s="132"/>
      <c r="C552" s="132"/>
    </row>
    <row r="553">
      <c r="B553" s="132"/>
      <c r="C553" s="132"/>
    </row>
    <row r="554">
      <c r="B554" s="132"/>
      <c r="C554" s="132"/>
    </row>
    <row r="555">
      <c r="B555" s="132"/>
      <c r="C555" s="132"/>
    </row>
    <row r="556">
      <c r="B556" s="132"/>
      <c r="C556" s="132"/>
    </row>
    <row r="557">
      <c r="B557" s="132"/>
      <c r="C557" s="132"/>
    </row>
    <row r="558">
      <c r="B558" s="132"/>
      <c r="C558" s="132"/>
    </row>
    <row r="559">
      <c r="B559" s="132"/>
      <c r="C559" s="132"/>
    </row>
    <row r="560">
      <c r="B560" s="132"/>
      <c r="C560" s="132"/>
    </row>
    <row r="561">
      <c r="B561" s="132"/>
      <c r="C561" s="132"/>
    </row>
    <row r="562">
      <c r="B562" s="132"/>
      <c r="C562" s="132"/>
    </row>
    <row r="563">
      <c r="B563" s="132"/>
      <c r="C563" s="132"/>
    </row>
    <row r="564">
      <c r="B564" s="132"/>
      <c r="C564" s="132"/>
    </row>
    <row r="565">
      <c r="B565" s="132"/>
      <c r="C565" s="132"/>
    </row>
    <row r="566">
      <c r="B566" s="132"/>
      <c r="C566" s="132"/>
    </row>
    <row r="567">
      <c r="B567" s="132"/>
      <c r="C567" s="132"/>
    </row>
    <row r="568">
      <c r="B568" s="132"/>
      <c r="C568" s="132"/>
    </row>
    <row r="569">
      <c r="B569" s="132"/>
      <c r="C569" s="132"/>
    </row>
    <row r="570">
      <c r="B570" s="132"/>
      <c r="C570" s="132"/>
    </row>
    <row r="571">
      <c r="B571" s="132"/>
      <c r="C571" s="132"/>
    </row>
    <row r="572">
      <c r="B572" s="132"/>
      <c r="C572" s="132"/>
    </row>
    <row r="573">
      <c r="B573" s="132"/>
      <c r="C573" s="132"/>
    </row>
    <row r="574">
      <c r="B574" s="132"/>
      <c r="C574" s="132"/>
    </row>
    <row r="575">
      <c r="B575" s="132"/>
      <c r="C575" s="132"/>
    </row>
    <row r="576">
      <c r="B576" s="132"/>
      <c r="C576" s="132"/>
    </row>
    <row r="577">
      <c r="B577" s="132"/>
      <c r="C577" s="132"/>
    </row>
    <row r="578">
      <c r="B578" s="132"/>
      <c r="C578" s="132"/>
    </row>
    <row r="579">
      <c r="B579" s="132"/>
      <c r="C579" s="132"/>
    </row>
    <row r="580">
      <c r="B580" s="132"/>
      <c r="C580" s="132"/>
    </row>
    <row r="581">
      <c r="B581" s="132"/>
      <c r="C581" s="132"/>
    </row>
    <row r="582">
      <c r="B582" s="132"/>
      <c r="C582" s="132"/>
    </row>
    <row r="583">
      <c r="B583" s="132"/>
      <c r="C583" s="132"/>
    </row>
    <row r="584">
      <c r="B584" s="132"/>
      <c r="C584" s="132"/>
    </row>
    <row r="585">
      <c r="B585" s="132"/>
      <c r="C585" s="132"/>
    </row>
    <row r="586">
      <c r="B586" s="132"/>
      <c r="C586" s="132"/>
    </row>
    <row r="587">
      <c r="B587" s="132"/>
      <c r="C587" s="132"/>
    </row>
    <row r="588">
      <c r="B588" s="132"/>
      <c r="C588" s="132"/>
    </row>
    <row r="589">
      <c r="B589" s="132"/>
      <c r="C589" s="132"/>
    </row>
    <row r="590">
      <c r="B590" s="132"/>
      <c r="C590" s="132"/>
    </row>
    <row r="591">
      <c r="B591" s="132"/>
      <c r="C591" s="132"/>
    </row>
    <row r="592">
      <c r="B592" s="132"/>
      <c r="C592" s="132"/>
    </row>
    <row r="593">
      <c r="B593" s="132"/>
      <c r="C593" s="132"/>
    </row>
    <row r="594">
      <c r="B594" s="132"/>
      <c r="C594" s="132"/>
    </row>
    <row r="595">
      <c r="B595" s="132"/>
      <c r="C595" s="132"/>
    </row>
    <row r="596">
      <c r="B596" s="132"/>
      <c r="C596" s="132"/>
    </row>
    <row r="597">
      <c r="B597" s="132"/>
      <c r="C597" s="132"/>
    </row>
    <row r="598">
      <c r="B598" s="132"/>
      <c r="C598" s="132"/>
    </row>
    <row r="599">
      <c r="B599" s="132"/>
      <c r="C599" s="132"/>
    </row>
    <row r="600">
      <c r="B600" s="132"/>
      <c r="C600" s="132"/>
    </row>
    <row r="601">
      <c r="B601" s="132"/>
      <c r="C601" s="132"/>
    </row>
    <row r="602">
      <c r="B602" s="132"/>
      <c r="C602" s="132"/>
    </row>
    <row r="603">
      <c r="B603" s="132"/>
      <c r="C603" s="132"/>
    </row>
    <row r="604">
      <c r="B604" s="132"/>
      <c r="C604" s="132"/>
    </row>
    <row r="605">
      <c r="B605" s="132"/>
      <c r="C605" s="132"/>
    </row>
    <row r="606">
      <c r="B606" s="132"/>
      <c r="C606" s="132"/>
    </row>
    <row r="607">
      <c r="B607" s="132"/>
      <c r="C607" s="132"/>
    </row>
    <row r="608">
      <c r="B608" s="132"/>
      <c r="C608" s="132"/>
    </row>
    <row r="609">
      <c r="B609" s="132"/>
      <c r="C609" s="132"/>
    </row>
    <row r="610">
      <c r="B610" s="132"/>
      <c r="C610" s="132"/>
    </row>
    <row r="611">
      <c r="B611" s="132"/>
      <c r="C611" s="132"/>
    </row>
    <row r="612">
      <c r="B612" s="132"/>
      <c r="C612" s="132"/>
    </row>
    <row r="613">
      <c r="B613" s="132"/>
      <c r="C613" s="132"/>
    </row>
    <row r="614">
      <c r="B614" s="132"/>
      <c r="C614" s="132"/>
    </row>
    <row r="615">
      <c r="B615" s="132"/>
      <c r="C615" s="132"/>
    </row>
    <row r="616">
      <c r="B616" s="132"/>
      <c r="C616" s="132"/>
    </row>
    <row r="617">
      <c r="B617" s="132"/>
      <c r="C617" s="132"/>
    </row>
    <row r="618">
      <c r="B618" s="132"/>
      <c r="C618" s="132"/>
    </row>
    <row r="619">
      <c r="B619" s="132"/>
      <c r="C619" s="132"/>
    </row>
    <row r="620">
      <c r="B620" s="132"/>
      <c r="C620" s="132"/>
    </row>
    <row r="621">
      <c r="B621" s="132"/>
      <c r="C621" s="132"/>
    </row>
    <row r="622">
      <c r="B622" s="132"/>
      <c r="C622" s="132"/>
    </row>
    <row r="623">
      <c r="B623" s="132"/>
      <c r="C623" s="132"/>
    </row>
    <row r="624">
      <c r="B624" s="132"/>
      <c r="C624" s="132"/>
    </row>
    <row r="625">
      <c r="B625" s="132"/>
      <c r="C625" s="132"/>
    </row>
    <row r="626">
      <c r="B626" s="132"/>
      <c r="C626" s="132"/>
    </row>
    <row r="627">
      <c r="B627" s="132"/>
      <c r="C627" s="132"/>
    </row>
    <row r="628">
      <c r="B628" s="132"/>
      <c r="C628" s="132"/>
    </row>
    <row r="629">
      <c r="B629" s="132"/>
      <c r="C629" s="132"/>
    </row>
    <row r="630">
      <c r="B630" s="132"/>
      <c r="C630" s="132"/>
    </row>
    <row r="631">
      <c r="B631" s="132"/>
      <c r="C631" s="132"/>
    </row>
    <row r="632">
      <c r="B632" s="132"/>
      <c r="C632" s="132"/>
    </row>
    <row r="633">
      <c r="B633" s="132"/>
      <c r="C633" s="132"/>
    </row>
    <row r="634">
      <c r="B634" s="132"/>
      <c r="C634" s="132"/>
    </row>
    <row r="635">
      <c r="B635" s="132"/>
      <c r="C635" s="132"/>
    </row>
    <row r="636">
      <c r="B636" s="132"/>
      <c r="C636" s="132"/>
    </row>
    <row r="637">
      <c r="B637" s="132"/>
      <c r="C637" s="132"/>
    </row>
    <row r="638">
      <c r="B638" s="132"/>
      <c r="C638" s="132"/>
    </row>
    <row r="639">
      <c r="B639" s="132"/>
      <c r="C639" s="132"/>
    </row>
    <row r="640">
      <c r="B640" s="132"/>
      <c r="C640" s="132"/>
    </row>
    <row r="641">
      <c r="B641" s="132"/>
      <c r="C641" s="132"/>
    </row>
    <row r="642">
      <c r="B642" s="132"/>
      <c r="C642" s="132"/>
    </row>
    <row r="643">
      <c r="B643" s="132"/>
      <c r="C643" s="132"/>
    </row>
    <row r="644">
      <c r="B644" s="132"/>
      <c r="C644" s="132"/>
    </row>
    <row r="645">
      <c r="B645" s="132"/>
      <c r="C645" s="132"/>
    </row>
    <row r="646">
      <c r="B646" s="132"/>
      <c r="C646" s="132"/>
    </row>
    <row r="647">
      <c r="B647" s="132"/>
      <c r="C647" s="132"/>
    </row>
    <row r="648">
      <c r="B648" s="132"/>
      <c r="C648" s="132"/>
    </row>
    <row r="649">
      <c r="B649" s="132"/>
      <c r="C649" s="132"/>
    </row>
    <row r="650">
      <c r="B650" s="132"/>
      <c r="C650" s="132"/>
    </row>
    <row r="651">
      <c r="B651" s="132"/>
      <c r="C651" s="132"/>
    </row>
    <row r="652">
      <c r="B652" s="132"/>
      <c r="C652" s="132"/>
    </row>
    <row r="653">
      <c r="B653" s="132"/>
      <c r="C653" s="132"/>
    </row>
    <row r="654">
      <c r="B654" s="132"/>
      <c r="C654" s="132"/>
    </row>
    <row r="655">
      <c r="B655" s="132"/>
      <c r="C655" s="132"/>
    </row>
    <row r="656">
      <c r="B656" s="132"/>
      <c r="C656" s="132"/>
    </row>
    <row r="657">
      <c r="B657" s="132"/>
      <c r="C657" s="132"/>
    </row>
    <row r="658">
      <c r="B658" s="132"/>
      <c r="C658" s="132"/>
    </row>
    <row r="659">
      <c r="B659" s="132"/>
      <c r="C659" s="132"/>
    </row>
    <row r="660">
      <c r="B660" s="132"/>
      <c r="C660" s="132"/>
    </row>
    <row r="661">
      <c r="B661" s="132"/>
      <c r="C661" s="132"/>
    </row>
    <row r="662">
      <c r="B662" s="132"/>
      <c r="C662" s="132"/>
    </row>
    <row r="663">
      <c r="B663" s="132"/>
      <c r="C663" s="132"/>
    </row>
    <row r="664">
      <c r="B664" s="132"/>
      <c r="C664" s="132"/>
    </row>
    <row r="665">
      <c r="B665" s="132"/>
      <c r="C665" s="132"/>
    </row>
    <row r="666">
      <c r="B666" s="132"/>
      <c r="C666" s="132"/>
    </row>
    <row r="667">
      <c r="B667" s="132"/>
      <c r="C667" s="132"/>
    </row>
    <row r="668">
      <c r="B668" s="132"/>
      <c r="C668" s="132"/>
    </row>
    <row r="669">
      <c r="B669" s="132"/>
      <c r="C669" s="132"/>
    </row>
    <row r="670">
      <c r="B670" s="132"/>
      <c r="C670" s="132"/>
    </row>
    <row r="671">
      <c r="B671" s="132"/>
      <c r="C671" s="132"/>
    </row>
    <row r="672">
      <c r="B672" s="132"/>
      <c r="C672" s="132"/>
    </row>
    <row r="673">
      <c r="B673" s="132"/>
      <c r="C673" s="132"/>
    </row>
    <row r="674">
      <c r="B674" s="132"/>
      <c r="C674" s="132"/>
    </row>
    <row r="675">
      <c r="B675" s="132"/>
      <c r="C675" s="132"/>
    </row>
    <row r="676">
      <c r="B676" s="132"/>
      <c r="C676" s="132"/>
    </row>
    <row r="677">
      <c r="B677" s="132"/>
      <c r="C677" s="132"/>
    </row>
    <row r="678">
      <c r="B678" s="132"/>
      <c r="C678" s="132"/>
    </row>
    <row r="679">
      <c r="B679" s="132"/>
      <c r="C679" s="132"/>
    </row>
    <row r="680">
      <c r="B680" s="132"/>
      <c r="C680" s="132"/>
    </row>
    <row r="681">
      <c r="B681" s="132"/>
      <c r="C681" s="132"/>
    </row>
    <row r="682">
      <c r="B682" s="132"/>
      <c r="C682" s="132"/>
    </row>
    <row r="683">
      <c r="B683" s="132"/>
      <c r="C683" s="132"/>
    </row>
    <row r="684">
      <c r="B684" s="132"/>
      <c r="C684" s="132"/>
    </row>
    <row r="685">
      <c r="B685" s="132"/>
      <c r="C685" s="132"/>
    </row>
    <row r="686">
      <c r="B686" s="132"/>
      <c r="C686" s="132"/>
    </row>
    <row r="687">
      <c r="B687" s="132"/>
      <c r="C687" s="132"/>
    </row>
    <row r="688">
      <c r="B688" s="132"/>
      <c r="C688" s="132"/>
    </row>
    <row r="689">
      <c r="B689" s="132"/>
      <c r="C689" s="132"/>
    </row>
    <row r="690">
      <c r="B690" s="132"/>
      <c r="C690" s="132"/>
    </row>
    <row r="691">
      <c r="B691" s="132"/>
      <c r="C691" s="132"/>
    </row>
    <row r="692">
      <c r="B692" s="132"/>
      <c r="C692" s="132"/>
    </row>
    <row r="693">
      <c r="B693" s="132"/>
      <c r="C693" s="132"/>
    </row>
    <row r="694">
      <c r="B694" s="132"/>
      <c r="C694" s="132"/>
    </row>
    <row r="695">
      <c r="B695" s="132"/>
      <c r="C695" s="132"/>
    </row>
    <row r="696">
      <c r="B696" s="132"/>
      <c r="C696" s="132"/>
    </row>
    <row r="697">
      <c r="B697" s="132"/>
      <c r="C697" s="132"/>
    </row>
    <row r="698">
      <c r="B698" s="132"/>
      <c r="C698" s="132"/>
    </row>
    <row r="699">
      <c r="B699" s="132"/>
      <c r="C699" s="132"/>
    </row>
    <row r="700">
      <c r="B700" s="132"/>
      <c r="C700" s="132"/>
    </row>
    <row r="701">
      <c r="B701" s="132"/>
      <c r="C701" s="132"/>
    </row>
    <row r="702">
      <c r="B702" s="132"/>
      <c r="C702" s="132"/>
    </row>
    <row r="703">
      <c r="B703" s="132"/>
      <c r="C703" s="132"/>
    </row>
    <row r="704">
      <c r="B704" s="132"/>
      <c r="C704" s="132"/>
    </row>
    <row r="705">
      <c r="B705" s="132"/>
      <c r="C705" s="132"/>
    </row>
    <row r="706">
      <c r="B706" s="132"/>
      <c r="C706" s="132"/>
    </row>
    <row r="707">
      <c r="B707" s="132"/>
      <c r="C707" s="132"/>
    </row>
    <row r="708">
      <c r="B708" s="132"/>
      <c r="C708" s="132"/>
    </row>
    <row r="709">
      <c r="B709" s="132"/>
      <c r="C709" s="132"/>
    </row>
    <row r="710">
      <c r="B710" s="132"/>
      <c r="C710" s="132"/>
    </row>
    <row r="711">
      <c r="B711" s="132"/>
      <c r="C711" s="132"/>
    </row>
    <row r="712">
      <c r="B712" s="132"/>
      <c r="C712" s="132"/>
    </row>
    <row r="713">
      <c r="B713" s="132"/>
      <c r="C713" s="132"/>
    </row>
    <row r="714">
      <c r="B714" s="132"/>
      <c r="C714" s="132"/>
    </row>
    <row r="715">
      <c r="B715" s="132"/>
      <c r="C715" s="132"/>
    </row>
    <row r="716">
      <c r="B716" s="132"/>
      <c r="C716" s="132"/>
    </row>
    <row r="717">
      <c r="B717" s="132"/>
      <c r="C717" s="132"/>
    </row>
    <row r="718">
      <c r="B718" s="132"/>
      <c r="C718" s="132"/>
    </row>
    <row r="719">
      <c r="B719" s="132"/>
      <c r="C719" s="132"/>
    </row>
    <row r="720">
      <c r="B720" s="132"/>
      <c r="C720" s="132"/>
    </row>
    <row r="721">
      <c r="B721" s="132"/>
      <c r="C721" s="132"/>
    </row>
    <row r="722">
      <c r="B722" s="132"/>
      <c r="C722" s="132"/>
    </row>
    <row r="723">
      <c r="B723" s="132"/>
      <c r="C723" s="132"/>
    </row>
    <row r="724">
      <c r="B724" s="132"/>
      <c r="C724" s="132"/>
    </row>
    <row r="725">
      <c r="B725" s="132"/>
      <c r="C725" s="132"/>
    </row>
    <row r="726">
      <c r="B726" s="132"/>
      <c r="C726" s="132"/>
    </row>
    <row r="727">
      <c r="B727" s="132"/>
      <c r="C727" s="132"/>
    </row>
    <row r="728">
      <c r="B728" s="132"/>
      <c r="C728" s="132"/>
    </row>
    <row r="729">
      <c r="B729" s="132"/>
      <c r="C729" s="132"/>
    </row>
    <row r="730">
      <c r="B730" s="132"/>
      <c r="C730" s="132"/>
    </row>
    <row r="731">
      <c r="B731" s="132"/>
      <c r="C731" s="132"/>
    </row>
    <row r="732">
      <c r="B732" s="132"/>
      <c r="C732" s="132"/>
    </row>
    <row r="733">
      <c r="B733" s="132"/>
      <c r="C733" s="132"/>
    </row>
    <row r="734">
      <c r="B734" s="132"/>
      <c r="C734" s="132"/>
    </row>
    <row r="735">
      <c r="B735" s="132"/>
      <c r="C735" s="132"/>
    </row>
    <row r="736">
      <c r="B736" s="132"/>
      <c r="C736" s="132"/>
    </row>
    <row r="737">
      <c r="B737" s="132"/>
      <c r="C737" s="132"/>
    </row>
    <row r="738">
      <c r="B738" s="132"/>
      <c r="C738" s="132"/>
    </row>
    <row r="739">
      <c r="B739" s="132"/>
      <c r="C739" s="132"/>
    </row>
    <row r="740">
      <c r="B740" s="132"/>
      <c r="C740" s="132"/>
    </row>
    <row r="741">
      <c r="B741" s="132"/>
      <c r="C741" s="132"/>
    </row>
    <row r="742">
      <c r="B742" s="132"/>
      <c r="C742" s="132"/>
    </row>
    <row r="743">
      <c r="B743" s="132"/>
      <c r="C743" s="132"/>
    </row>
    <row r="744">
      <c r="B744" s="132"/>
      <c r="C744" s="132"/>
    </row>
    <row r="745">
      <c r="B745" s="132"/>
      <c r="C745" s="132"/>
    </row>
    <row r="746">
      <c r="B746" s="132"/>
      <c r="C746" s="132"/>
    </row>
    <row r="747">
      <c r="B747" s="132"/>
      <c r="C747" s="132"/>
    </row>
    <row r="748">
      <c r="B748" s="132"/>
      <c r="C748" s="132"/>
    </row>
    <row r="749">
      <c r="B749" s="132"/>
      <c r="C749" s="132"/>
    </row>
    <row r="750">
      <c r="B750" s="132"/>
      <c r="C750" s="132"/>
    </row>
    <row r="751">
      <c r="B751" s="132"/>
      <c r="C751" s="132"/>
    </row>
    <row r="752">
      <c r="B752" s="132"/>
      <c r="C752" s="132"/>
    </row>
    <row r="753">
      <c r="B753" s="132"/>
      <c r="C753" s="132"/>
    </row>
    <row r="754">
      <c r="B754" s="132"/>
      <c r="C754" s="132"/>
    </row>
    <row r="755">
      <c r="B755" s="132"/>
      <c r="C755" s="132"/>
    </row>
    <row r="756">
      <c r="B756" s="132"/>
      <c r="C756" s="132"/>
    </row>
    <row r="757">
      <c r="B757" s="132"/>
      <c r="C757" s="132"/>
    </row>
    <row r="758">
      <c r="B758" s="132"/>
      <c r="C758" s="132"/>
    </row>
    <row r="759">
      <c r="B759" s="132"/>
      <c r="C759" s="132"/>
    </row>
    <row r="760">
      <c r="B760" s="132"/>
      <c r="C760" s="132"/>
    </row>
    <row r="761">
      <c r="B761" s="132"/>
      <c r="C761" s="132"/>
    </row>
    <row r="762">
      <c r="B762" s="132"/>
      <c r="C762" s="132"/>
    </row>
    <row r="763">
      <c r="B763" s="132"/>
      <c r="C763" s="132"/>
    </row>
    <row r="764">
      <c r="B764" s="132"/>
      <c r="C764" s="132"/>
    </row>
    <row r="765">
      <c r="B765" s="132"/>
      <c r="C765" s="132"/>
    </row>
    <row r="766">
      <c r="B766" s="132"/>
      <c r="C766" s="132"/>
    </row>
    <row r="767">
      <c r="B767" s="132"/>
      <c r="C767" s="132"/>
    </row>
    <row r="768">
      <c r="B768" s="132"/>
      <c r="C768" s="132"/>
    </row>
    <row r="769">
      <c r="B769" s="132"/>
      <c r="C769" s="132"/>
    </row>
    <row r="770">
      <c r="B770" s="132"/>
      <c r="C770" s="132"/>
    </row>
    <row r="771">
      <c r="B771" s="132"/>
      <c r="C771" s="132"/>
    </row>
    <row r="772">
      <c r="B772" s="132"/>
      <c r="C772" s="132"/>
    </row>
    <row r="773">
      <c r="B773" s="132"/>
      <c r="C773" s="132"/>
    </row>
    <row r="774">
      <c r="B774" s="132"/>
      <c r="C774" s="132"/>
    </row>
    <row r="775">
      <c r="B775" s="132"/>
      <c r="C775" s="132"/>
    </row>
    <row r="776">
      <c r="B776" s="132"/>
      <c r="C776" s="132"/>
    </row>
    <row r="777">
      <c r="B777" s="132"/>
      <c r="C777" s="132"/>
    </row>
    <row r="778">
      <c r="B778" s="132"/>
      <c r="C778" s="132"/>
    </row>
    <row r="779">
      <c r="B779" s="132"/>
      <c r="C779" s="132"/>
    </row>
    <row r="780">
      <c r="B780" s="132"/>
      <c r="C780" s="132"/>
    </row>
    <row r="781">
      <c r="B781" s="132"/>
      <c r="C781" s="132"/>
    </row>
    <row r="782">
      <c r="B782" s="132"/>
      <c r="C782" s="132"/>
    </row>
    <row r="783">
      <c r="B783" s="132"/>
      <c r="C783" s="132"/>
    </row>
    <row r="784">
      <c r="B784" s="132"/>
      <c r="C784" s="132"/>
    </row>
    <row r="785">
      <c r="B785" s="132"/>
      <c r="C785" s="132"/>
    </row>
    <row r="786">
      <c r="B786" s="132"/>
      <c r="C786" s="132"/>
    </row>
    <row r="787">
      <c r="B787" s="132"/>
      <c r="C787" s="132"/>
    </row>
    <row r="788">
      <c r="B788" s="132"/>
      <c r="C788" s="132"/>
    </row>
    <row r="789">
      <c r="B789" s="132"/>
      <c r="C789" s="132"/>
    </row>
    <row r="790">
      <c r="B790" s="132"/>
      <c r="C790" s="132"/>
    </row>
    <row r="791">
      <c r="B791" s="132"/>
      <c r="C791" s="132"/>
    </row>
    <row r="792">
      <c r="B792" s="132"/>
      <c r="C792" s="132"/>
    </row>
    <row r="793">
      <c r="B793" s="132"/>
      <c r="C793" s="132"/>
    </row>
    <row r="794">
      <c r="B794" s="132"/>
      <c r="C794" s="132"/>
    </row>
    <row r="795">
      <c r="B795" s="132"/>
      <c r="C795" s="132"/>
    </row>
    <row r="796">
      <c r="B796" s="132"/>
      <c r="C796" s="132"/>
    </row>
    <row r="797">
      <c r="B797" s="132"/>
      <c r="C797" s="132"/>
    </row>
    <row r="798">
      <c r="B798" s="132"/>
      <c r="C798" s="132"/>
    </row>
    <row r="799">
      <c r="B799" s="132"/>
      <c r="C799" s="132"/>
    </row>
    <row r="800">
      <c r="B800" s="132"/>
      <c r="C800" s="132"/>
    </row>
    <row r="801">
      <c r="B801" s="132"/>
      <c r="C801" s="132"/>
    </row>
    <row r="802">
      <c r="B802" s="132"/>
      <c r="C802" s="132"/>
    </row>
    <row r="803">
      <c r="B803" s="132"/>
      <c r="C803" s="132"/>
    </row>
    <row r="804">
      <c r="B804" s="132"/>
      <c r="C804" s="132"/>
    </row>
    <row r="805">
      <c r="B805" s="132"/>
      <c r="C805" s="132"/>
    </row>
    <row r="806">
      <c r="B806" s="132"/>
      <c r="C806" s="132"/>
    </row>
    <row r="807">
      <c r="B807" s="132"/>
      <c r="C807" s="132"/>
    </row>
    <row r="808">
      <c r="B808" s="132"/>
      <c r="C808" s="132"/>
    </row>
    <row r="809">
      <c r="B809" s="132"/>
      <c r="C809" s="132"/>
    </row>
    <row r="810">
      <c r="B810" s="132"/>
      <c r="C810" s="132"/>
    </row>
    <row r="811">
      <c r="B811" s="132"/>
      <c r="C811" s="132"/>
    </row>
    <row r="812">
      <c r="B812" s="132"/>
      <c r="C812" s="132"/>
    </row>
    <row r="813">
      <c r="B813" s="132"/>
      <c r="C813" s="132"/>
    </row>
    <row r="814">
      <c r="B814" s="132"/>
      <c r="C814" s="132"/>
    </row>
    <row r="815">
      <c r="B815" s="132"/>
      <c r="C815" s="132"/>
    </row>
    <row r="816">
      <c r="B816" s="132"/>
      <c r="C816" s="132"/>
    </row>
    <row r="817">
      <c r="B817" s="132"/>
      <c r="C817" s="132"/>
    </row>
    <row r="818">
      <c r="B818" s="132"/>
      <c r="C818" s="132"/>
    </row>
    <row r="819">
      <c r="B819" s="132"/>
      <c r="C819" s="132"/>
    </row>
    <row r="820">
      <c r="B820" s="132"/>
      <c r="C820" s="132"/>
    </row>
    <row r="821">
      <c r="B821" s="132"/>
      <c r="C821" s="132"/>
    </row>
    <row r="822">
      <c r="B822" s="132"/>
      <c r="C822" s="132"/>
    </row>
    <row r="823">
      <c r="B823" s="132"/>
      <c r="C823" s="132"/>
    </row>
    <row r="824">
      <c r="B824" s="132"/>
      <c r="C824" s="132"/>
    </row>
    <row r="825">
      <c r="B825" s="132"/>
      <c r="C825" s="132"/>
    </row>
    <row r="826">
      <c r="B826" s="132"/>
      <c r="C826" s="132"/>
    </row>
    <row r="827">
      <c r="B827" s="132"/>
      <c r="C827" s="132"/>
    </row>
    <row r="828">
      <c r="B828" s="132"/>
      <c r="C828" s="132"/>
    </row>
    <row r="829">
      <c r="B829" s="132"/>
      <c r="C829" s="132"/>
    </row>
    <row r="830">
      <c r="B830" s="132"/>
      <c r="C830" s="132"/>
    </row>
    <row r="831">
      <c r="B831" s="132"/>
      <c r="C831" s="132"/>
    </row>
    <row r="832">
      <c r="B832" s="132"/>
      <c r="C832" s="132"/>
    </row>
    <row r="833">
      <c r="B833" s="132"/>
      <c r="C833" s="132"/>
    </row>
    <row r="834">
      <c r="B834" s="132"/>
      <c r="C834" s="132"/>
    </row>
    <row r="835">
      <c r="B835" s="132"/>
      <c r="C835" s="132"/>
    </row>
    <row r="836">
      <c r="B836" s="132"/>
      <c r="C836" s="132"/>
    </row>
    <row r="837">
      <c r="B837" s="132"/>
      <c r="C837" s="132"/>
    </row>
    <row r="838">
      <c r="B838" s="132"/>
      <c r="C838" s="132"/>
    </row>
    <row r="839">
      <c r="B839" s="132"/>
      <c r="C839" s="132"/>
    </row>
    <row r="840">
      <c r="B840" s="132"/>
      <c r="C840" s="132"/>
    </row>
    <row r="841">
      <c r="B841" s="132"/>
      <c r="C841" s="132"/>
    </row>
    <row r="842">
      <c r="B842" s="132"/>
      <c r="C842" s="132"/>
    </row>
    <row r="843">
      <c r="B843" s="132"/>
      <c r="C843" s="132"/>
    </row>
    <row r="844">
      <c r="B844" s="132"/>
      <c r="C844" s="132"/>
    </row>
    <row r="845">
      <c r="B845" s="132"/>
      <c r="C845" s="132"/>
    </row>
    <row r="846">
      <c r="B846" s="132"/>
      <c r="C846" s="132"/>
    </row>
    <row r="847">
      <c r="B847" s="132"/>
      <c r="C847" s="132"/>
    </row>
    <row r="848">
      <c r="B848" s="132"/>
      <c r="C848" s="132"/>
    </row>
    <row r="849">
      <c r="B849" s="132"/>
      <c r="C849" s="132"/>
    </row>
    <row r="850">
      <c r="B850" s="132"/>
      <c r="C850" s="132"/>
    </row>
    <row r="851">
      <c r="B851" s="132"/>
      <c r="C851" s="132"/>
    </row>
    <row r="852">
      <c r="B852" s="132"/>
      <c r="C852" s="132"/>
    </row>
    <row r="853">
      <c r="B853" s="132"/>
      <c r="C853" s="132"/>
    </row>
    <row r="854">
      <c r="B854" s="132"/>
      <c r="C854" s="132"/>
    </row>
    <row r="855">
      <c r="B855" s="132"/>
      <c r="C855" s="132"/>
    </row>
    <row r="856">
      <c r="B856" s="132"/>
      <c r="C856" s="132"/>
    </row>
    <row r="857">
      <c r="B857" s="132"/>
      <c r="C857" s="132"/>
    </row>
    <row r="858">
      <c r="B858" s="132"/>
      <c r="C858" s="132"/>
    </row>
    <row r="859">
      <c r="B859" s="132"/>
      <c r="C859" s="132"/>
    </row>
    <row r="860">
      <c r="B860" s="132"/>
      <c r="C860" s="132"/>
    </row>
    <row r="861">
      <c r="B861" s="132"/>
      <c r="C861" s="132"/>
    </row>
    <row r="862">
      <c r="B862" s="132"/>
      <c r="C862" s="132"/>
    </row>
    <row r="863">
      <c r="B863" s="132"/>
      <c r="C863" s="132"/>
    </row>
    <row r="864">
      <c r="B864" s="132"/>
      <c r="C864" s="132"/>
    </row>
    <row r="865">
      <c r="B865" s="132"/>
      <c r="C865" s="132"/>
    </row>
    <row r="866">
      <c r="B866" s="132"/>
      <c r="C866" s="132"/>
    </row>
    <row r="867">
      <c r="B867" s="132"/>
      <c r="C867" s="132"/>
    </row>
    <row r="868">
      <c r="B868" s="132"/>
      <c r="C868" s="132"/>
    </row>
    <row r="869">
      <c r="B869" s="132"/>
      <c r="C869" s="132"/>
    </row>
    <row r="870">
      <c r="B870" s="132"/>
      <c r="C870" s="132"/>
    </row>
    <row r="871">
      <c r="B871" s="132"/>
      <c r="C871" s="132"/>
    </row>
    <row r="872">
      <c r="B872" s="132"/>
      <c r="C872" s="132"/>
    </row>
    <row r="873">
      <c r="B873" s="132"/>
      <c r="C873" s="132"/>
    </row>
    <row r="874">
      <c r="B874" s="132"/>
      <c r="C874" s="132"/>
    </row>
    <row r="875">
      <c r="B875" s="132"/>
      <c r="C875" s="132"/>
    </row>
    <row r="876">
      <c r="B876" s="132"/>
      <c r="C876" s="132"/>
    </row>
    <row r="877">
      <c r="B877" s="132"/>
      <c r="C877" s="132"/>
    </row>
    <row r="878">
      <c r="B878" s="132"/>
      <c r="C878" s="132"/>
    </row>
    <row r="879">
      <c r="B879" s="132"/>
      <c r="C879" s="132"/>
    </row>
    <row r="880">
      <c r="B880" s="132"/>
      <c r="C880" s="132"/>
    </row>
    <row r="881">
      <c r="B881" s="132"/>
      <c r="C881" s="132"/>
    </row>
    <row r="882">
      <c r="B882" s="132"/>
      <c r="C882" s="132"/>
    </row>
    <row r="883">
      <c r="B883" s="132"/>
      <c r="C883" s="132"/>
    </row>
    <row r="884">
      <c r="B884" s="132"/>
      <c r="C884" s="132"/>
    </row>
    <row r="885">
      <c r="B885" s="132"/>
      <c r="C885" s="132"/>
    </row>
    <row r="886">
      <c r="B886" s="132"/>
      <c r="C886" s="132"/>
    </row>
    <row r="887">
      <c r="B887" s="132"/>
      <c r="C887" s="132"/>
    </row>
    <row r="888">
      <c r="B888" s="132"/>
      <c r="C888" s="132"/>
    </row>
    <row r="889">
      <c r="B889" s="132"/>
      <c r="C889" s="132"/>
    </row>
    <row r="890">
      <c r="B890" s="132"/>
      <c r="C890" s="132"/>
    </row>
    <row r="891">
      <c r="B891" s="132"/>
      <c r="C891" s="132"/>
    </row>
    <row r="892">
      <c r="B892" s="132"/>
      <c r="C892" s="132"/>
    </row>
    <row r="893">
      <c r="B893" s="132"/>
      <c r="C893" s="132"/>
    </row>
    <row r="894">
      <c r="B894" s="132"/>
      <c r="C894" s="132"/>
    </row>
    <row r="895">
      <c r="B895" s="132"/>
      <c r="C895" s="132"/>
    </row>
    <row r="896">
      <c r="B896" s="132"/>
      <c r="C896" s="132"/>
    </row>
    <row r="897">
      <c r="B897" s="132"/>
      <c r="C897" s="132"/>
    </row>
    <row r="898">
      <c r="B898" s="132"/>
      <c r="C898" s="132"/>
    </row>
    <row r="899">
      <c r="B899" s="132"/>
      <c r="C899" s="132"/>
    </row>
    <row r="900">
      <c r="B900" s="132"/>
      <c r="C900" s="132"/>
    </row>
    <row r="901">
      <c r="B901" s="132"/>
      <c r="C901" s="132"/>
    </row>
    <row r="902">
      <c r="B902" s="132"/>
      <c r="C902" s="132"/>
    </row>
    <row r="903">
      <c r="B903" s="132"/>
      <c r="C903" s="132"/>
    </row>
    <row r="904">
      <c r="B904" s="132"/>
      <c r="C904" s="132"/>
    </row>
    <row r="905">
      <c r="B905" s="132"/>
      <c r="C905" s="132"/>
    </row>
    <row r="906">
      <c r="B906" s="132"/>
      <c r="C906" s="132"/>
    </row>
    <row r="907">
      <c r="B907" s="132"/>
      <c r="C907" s="132"/>
    </row>
    <row r="908">
      <c r="B908" s="132"/>
      <c r="C908" s="132"/>
    </row>
    <row r="909">
      <c r="B909" s="132"/>
      <c r="C909" s="132"/>
    </row>
    <row r="910">
      <c r="B910" s="132"/>
      <c r="C910" s="132"/>
    </row>
    <row r="911">
      <c r="B911" s="132"/>
      <c r="C911" s="132"/>
    </row>
    <row r="912">
      <c r="B912" s="132"/>
      <c r="C912" s="132"/>
    </row>
    <row r="913">
      <c r="B913" s="132"/>
      <c r="C913" s="132"/>
    </row>
    <row r="914">
      <c r="B914" s="132"/>
      <c r="C914" s="132"/>
    </row>
    <row r="915">
      <c r="B915" s="132"/>
      <c r="C915" s="132"/>
    </row>
    <row r="916">
      <c r="B916" s="132"/>
      <c r="C916" s="132"/>
    </row>
    <row r="917">
      <c r="B917" s="132"/>
      <c r="C917" s="132"/>
    </row>
    <row r="918">
      <c r="B918" s="132"/>
      <c r="C918" s="132"/>
    </row>
    <row r="919">
      <c r="B919" s="132"/>
      <c r="C919" s="132"/>
    </row>
    <row r="920">
      <c r="B920" s="132"/>
      <c r="C920" s="132"/>
    </row>
    <row r="921">
      <c r="B921" s="132"/>
      <c r="C921" s="132"/>
    </row>
    <row r="922">
      <c r="B922" s="132"/>
      <c r="C922" s="132"/>
    </row>
    <row r="923">
      <c r="B923" s="132"/>
      <c r="C923" s="132"/>
    </row>
    <row r="924">
      <c r="B924" s="132"/>
      <c r="C924" s="132"/>
    </row>
    <row r="925">
      <c r="B925" s="132"/>
      <c r="C925" s="132"/>
    </row>
    <row r="926">
      <c r="B926" s="132"/>
      <c r="C926" s="132"/>
    </row>
    <row r="927">
      <c r="B927" s="132"/>
      <c r="C927" s="132"/>
    </row>
    <row r="928">
      <c r="B928" s="132"/>
      <c r="C928" s="132"/>
    </row>
    <row r="929">
      <c r="B929" s="132"/>
      <c r="C929" s="132"/>
    </row>
    <row r="930">
      <c r="B930" s="132"/>
      <c r="C930" s="132"/>
    </row>
    <row r="931">
      <c r="B931" s="132"/>
      <c r="C931" s="132"/>
    </row>
    <row r="932">
      <c r="B932" s="132"/>
      <c r="C932" s="132"/>
    </row>
    <row r="933">
      <c r="B933" s="132"/>
      <c r="C933" s="132"/>
    </row>
    <row r="934">
      <c r="B934" s="132"/>
      <c r="C934" s="132"/>
    </row>
    <row r="935">
      <c r="B935" s="132"/>
      <c r="C935" s="132"/>
    </row>
    <row r="936">
      <c r="B936" s="132"/>
      <c r="C936" s="132"/>
    </row>
    <row r="937">
      <c r="B937" s="132"/>
      <c r="C937" s="132"/>
    </row>
    <row r="938">
      <c r="B938" s="132"/>
      <c r="C938" s="132"/>
    </row>
    <row r="939">
      <c r="B939" s="132"/>
      <c r="C939" s="132"/>
    </row>
    <row r="940">
      <c r="B940" s="132"/>
      <c r="C940" s="132"/>
    </row>
    <row r="941">
      <c r="B941" s="132"/>
      <c r="C941" s="132"/>
    </row>
    <row r="942">
      <c r="B942" s="132"/>
      <c r="C942" s="132"/>
    </row>
    <row r="943">
      <c r="B943" s="132"/>
      <c r="C943" s="132"/>
    </row>
    <row r="944">
      <c r="B944" s="132"/>
      <c r="C944" s="132"/>
    </row>
    <row r="945">
      <c r="B945" s="132"/>
      <c r="C945" s="132"/>
    </row>
    <row r="946">
      <c r="B946" s="132"/>
      <c r="C946" s="132"/>
    </row>
    <row r="947">
      <c r="B947" s="132"/>
      <c r="C947" s="132"/>
    </row>
    <row r="948">
      <c r="B948" s="132"/>
      <c r="C948" s="132"/>
    </row>
    <row r="949">
      <c r="B949" s="132"/>
      <c r="C949" s="132"/>
    </row>
    <row r="950">
      <c r="B950" s="132"/>
      <c r="C950" s="132"/>
    </row>
    <row r="951">
      <c r="B951" s="132"/>
      <c r="C951" s="132"/>
    </row>
    <row r="952">
      <c r="B952" s="132"/>
      <c r="C952" s="132"/>
    </row>
    <row r="953">
      <c r="B953" s="132"/>
      <c r="C953" s="132"/>
    </row>
    <row r="954">
      <c r="B954" s="132"/>
      <c r="C954" s="132"/>
    </row>
    <row r="955">
      <c r="B955" s="132"/>
      <c r="C955" s="132"/>
    </row>
    <row r="956">
      <c r="B956" s="132"/>
      <c r="C956" s="132"/>
    </row>
    <row r="957">
      <c r="B957" s="132"/>
      <c r="C957" s="132"/>
    </row>
    <row r="958">
      <c r="B958" s="132"/>
      <c r="C958" s="132"/>
    </row>
    <row r="959">
      <c r="B959" s="132"/>
      <c r="C959" s="132"/>
    </row>
    <row r="960">
      <c r="B960" s="132"/>
      <c r="C960" s="132"/>
    </row>
    <row r="961">
      <c r="B961" s="132"/>
      <c r="C961" s="132"/>
    </row>
    <row r="962">
      <c r="B962" s="132"/>
      <c r="C962" s="132"/>
    </row>
    <row r="963">
      <c r="B963" s="132"/>
      <c r="C963" s="132"/>
    </row>
    <row r="964">
      <c r="B964" s="132"/>
      <c r="C964" s="13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88" t="s">
        <v>176</v>
      </c>
      <c r="O1" s="88">
        <v>4.0</v>
      </c>
      <c r="P1" s="88">
        <v>8.0</v>
      </c>
      <c r="Q1" s="88">
        <v>43.0</v>
      </c>
      <c r="R1" s="2"/>
      <c r="S1" s="2"/>
      <c r="T1" s="2"/>
      <c r="U1" s="88">
        <v>4.0</v>
      </c>
      <c r="V1" s="88">
        <v>8.0</v>
      </c>
      <c r="W1" s="88">
        <v>43.0</v>
      </c>
      <c r="X1" s="2"/>
      <c r="Y1" s="2"/>
      <c r="Z1" s="2"/>
    </row>
    <row r="2" ht="12.75" customHeight="1">
      <c r="A2" s="2"/>
      <c r="B2" s="2"/>
      <c r="C2" s="2"/>
      <c r="D2" s="2" t="s">
        <v>177</v>
      </c>
      <c r="E2" s="2"/>
      <c r="F2" s="2"/>
      <c r="G2" s="2"/>
      <c r="H2" s="2"/>
      <c r="I2" s="2"/>
      <c r="J2" s="2"/>
      <c r="K2" s="2"/>
      <c r="L2" s="2"/>
      <c r="M2" s="2"/>
      <c r="N2" s="88" t="s">
        <v>178</v>
      </c>
      <c r="O2" s="88">
        <v>3.0</v>
      </c>
      <c r="P2" s="88">
        <v>10.0</v>
      </c>
      <c r="Q2" s="88">
        <v>10.0</v>
      </c>
      <c r="R2" s="2"/>
      <c r="S2" s="2"/>
      <c r="T2" s="2"/>
      <c r="U2" s="88">
        <v>3.0</v>
      </c>
      <c r="V2" s="88">
        <v>10.0</v>
      </c>
      <c r="W2" s="88">
        <v>10.0</v>
      </c>
      <c r="X2" s="2"/>
      <c r="Y2" s="2"/>
      <c r="Z2" s="2"/>
    </row>
    <row r="3" ht="12.75" customHeight="1">
      <c r="A3" s="2"/>
      <c r="B3" s="2" t="s">
        <v>179</v>
      </c>
      <c r="C3" s="2">
        <v>70.5</v>
      </c>
      <c r="D3" s="2">
        <f t="shared" ref="D3:D5" si="1">C3*0.97</f>
        <v>68.385</v>
      </c>
      <c r="E3" s="2" t="s">
        <v>180</v>
      </c>
      <c r="F3" s="2">
        <v>68.3</v>
      </c>
      <c r="G3" s="2"/>
      <c r="H3" s="2"/>
      <c r="I3" s="2"/>
      <c r="J3" s="2"/>
      <c r="K3" s="2"/>
      <c r="L3" s="2"/>
      <c r="M3" s="2"/>
      <c r="N3" s="88" t="s">
        <v>181</v>
      </c>
      <c r="O3" s="207">
        <v>3.0</v>
      </c>
      <c r="P3" s="88">
        <v>15.0</v>
      </c>
      <c r="Q3" s="88">
        <v>22.6</v>
      </c>
      <c r="R3" s="2"/>
      <c r="S3" s="2"/>
      <c r="T3" s="2"/>
      <c r="U3" s="207">
        <v>3.0</v>
      </c>
      <c r="V3" s="88">
        <v>15.0</v>
      </c>
      <c r="W3" s="88">
        <v>20.6</v>
      </c>
      <c r="X3" s="2"/>
      <c r="Y3" s="2"/>
      <c r="Z3" s="2"/>
    </row>
    <row r="4" ht="12.75" customHeight="1">
      <c r="A4" s="2"/>
      <c r="B4" s="2" t="s">
        <v>182</v>
      </c>
      <c r="C4" s="2">
        <v>58.0</v>
      </c>
      <c r="D4" s="2">
        <f t="shared" si="1"/>
        <v>56.26</v>
      </c>
      <c r="E4" s="2" t="s">
        <v>183</v>
      </c>
      <c r="F4" s="2">
        <v>51.8</v>
      </c>
      <c r="G4" s="2"/>
      <c r="H4" s="2"/>
      <c r="I4" s="2"/>
      <c r="J4" s="2"/>
      <c r="K4" s="2"/>
      <c r="L4" s="2"/>
      <c r="M4" s="2"/>
      <c r="N4" s="88" t="s">
        <v>184</v>
      </c>
      <c r="O4" s="88">
        <v>3.0</v>
      </c>
      <c r="P4" s="88">
        <v>15.0</v>
      </c>
      <c r="Q4" s="88">
        <v>2.5</v>
      </c>
      <c r="R4" s="2"/>
      <c r="S4" s="2"/>
      <c r="T4" s="2"/>
      <c r="U4" s="88">
        <v>3.0</v>
      </c>
      <c r="V4" s="88">
        <v>15.0</v>
      </c>
      <c r="W4" s="88">
        <v>3.0</v>
      </c>
      <c r="X4" s="2"/>
      <c r="Y4" s="2"/>
      <c r="Z4" s="2"/>
    </row>
    <row r="5" ht="12.75" customHeight="1">
      <c r="A5" s="2"/>
      <c r="B5" s="2" t="s">
        <v>185</v>
      </c>
      <c r="C5" s="2">
        <v>43.0</v>
      </c>
      <c r="D5" s="2">
        <f t="shared" si="1"/>
        <v>41.71</v>
      </c>
      <c r="E5" s="2" t="s">
        <v>186</v>
      </c>
      <c r="F5" s="2">
        <v>36.2</v>
      </c>
      <c r="G5" s="2"/>
      <c r="H5" s="2"/>
      <c r="I5" s="2"/>
      <c r="J5" s="2"/>
      <c r="K5" s="2"/>
      <c r="L5" s="2"/>
      <c r="M5" s="2"/>
      <c r="N5" s="88" t="s">
        <v>187</v>
      </c>
      <c r="O5" s="2"/>
      <c r="P5" s="2"/>
      <c r="Q5" s="2"/>
      <c r="R5" s="88">
        <v>6.0</v>
      </c>
      <c r="S5" s="88">
        <v>4.0</v>
      </c>
      <c r="T5" s="88">
        <v>56.5</v>
      </c>
      <c r="U5" s="94"/>
      <c r="V5" s="2"/>
      <c r="W5" s="2"/>
      <c r="X5" s="2"/>
      <c r="Y5" s="2"/>
      <c r="Z5" s="2"/>
    </row>
    <row r="6" ht="12.75" customHeight="1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88" t="s">
        <v>188</v>
      </c>
      <c r="O6" s="2"/>
      <c r="P6" s="2"/>
      <c r="Q6" s="2"/>
      <c r="R6" s="88">
        <v>4.0</v>
      </c>
      <c r="S6" s="88">
        <v>8.0</v>
      </c>
      <c r="T6" s="88">
        <v>31.0</v>
      </c>
      <c r="U6" s="94"/>
      <c r="V6" s="2"/>
      <c r="W6" s="2"/>
      <c r="X6" s="2"/>
      <c r="Y6" s="2"/>
      <c r="Z6" s="2"/>
    </row>
    <row r="7" ht="12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88" t="s">
        <v>189</v>
      </c>
      <c r="O7" s="2"/>
      <c r="P7" s="2"/>
      <c r="Q7" s="2"/>
      <c r="R7" s="88">
        <v>3.0</v>
      </c>
      <c r="S7" s="88">
        <v>5.0</v>
      </c>
      <c r="T7" s="88" t="s">
        <v>190</v>
      </c>
      <c r="U7" s="94"/>
      <c r="V7" s="2"/>
      <c r="W7" s="2"/>
      <c r="X7" s="2"/>
      <c r="Y7" s="2"/>
      <c r="Z7" s="2"/>
    </row>
    <row r="8" ht="12.75" customHeight="1">
      <c r="A8" s="2"/>
      <c r="B8" s="2"/>
      <c r="C8" s="2" t="s">
        <v>191</v>
      </c>
      <c r="D8" s="94" t="s">
        <v>192</v>
      </c>
      <c r="E8" s="2" t="s">
        <v>193</v>
      </c>
      <c r="F8" s="95" t="s">
        <v>194</v>
      </c>
      <c r="G8" s="91" t="s">
        <v>195</v>
      </c>
      <c r="H8" s="91" t="s">
        <v>196</v>
      </c>
      <c r="I8" s="91" t="s">
        <v>197</v>
      </c>
      <c r="J8" s="91" t="s">
        <v>198</v>
      </c>
      <c r="K8" s="91" t="s">
        <v>199</v>
      </c>
      <c r="L8" s="2"/>
      <c r="M8" s="2"/>
      <c r="N8" s="88" t="s">
        <v>200</v>
      </c>
      <c r="O8" s="2"/>
      <c r="P8" s="2"/>
      <c r="Q8" s="2"/>
      <c r="R8" s="88">
        <v>3.0</v>
      </c>
      <c r="S8" s="88">
        <v>10.0</v>
      </c>
      <c r="T8" s="88">
        <v>12.0</v>
      </c>
      <c r="U8" s="94"/>
      <c r="V8" s="2"/>
      <c r="W8" s="2"/>
      <c r="X8" s="2"/>
      <c r="Y8" s="2"/>
      <c r="Z8" s="2"/>
    </row>
    <row r="9" ht="12.75" customHeight="1">
      <c r="A9" s="2"/>
      <c r="B9" s="88" t="s">
        <v>187</v>
      </c>
      <c r="C9" s="89">
        <v>56.5</v>
      </c>
      <c r="D9" s="90">
        <v>56.5</v>
      </c>
      <c r="E9" s="89">
        <v>56.5</v>
      </c>
      <c r="F9" s="91">
        <v>58.0</v>
      </c>
      <c r="G9" s="92">
        <v>58.0</v>
      </c>
      <c r="H9" s="91">
        <v>58.0</v>
      </c>
      <c r="I9" s="90">
        <v>60.0</v>
      </c>
      <c r="J9" s="89">
        <v>58.0</v>
      </c>
      <c r="K9" s="89">
        <v>60.0</v>
      </c>
      <c r="L9" s="2"/>
      <c r="M9" s="2"/>
      <c r="N9" s="88" t="s">
        <v>181</v>
      </c>
      <c r="O9" s="2"/>
      <c r="P9" s="2"/>
      <c r="Q9" s="2"/>
      <c r="R9" s="88">
        <v>3.0</v>
      </c>
      <c r="S9" s="88">
        <v>15.0</v>
      </c>
      <c r="T9" s="88">
        <v>20.6</v>
      </c>
      <c r="U9" s="94"/>
      <c r="V9" s="2"/>
      <c r="W9" s="2"/>
      <c r="X9" s="2"/>
      <c r="Y9" s="2"/>
      <c r="Z9" s="2"/>
    </row>
    <row r="10" ht="12.75" customHeight="1">
      <c r="A10" s="2"/>
      <c r="B10" s="94"/>
      <c r="C10" s="95">
        <v>3.0</v>
      </c>
      <c r="D10" s="96">
        <v>4.0</v>
      </c>
      <c r="E10" s="95">
        <v>3.0</v>
      </c>
      <c r="F10" s="95">
        <v>5.0</v>
      </c>
      <c r="G10" s="96">
        <v>3.0</v>
      </c>
      <c r="H10" s="95">
        <v>6.0</v>
      </c>
      <c r="I10" s="96">
        <v>3.0</v>
      </c>
      <c r="J10" s="95">
        <v>6.0</v>
      </c>
      <c r="K10" s="95">
        <v>3.0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2.75" customHeight="1">
      <c r="A11" s="2"/>
      <c r="B11" s="94"/>
      <c r="C11" s="89">
        <v>56.5</v>
      </c>
      <c r="D11" s="90">
        <v>56.5</v>
      </c>
      <c r="E11" s="89">
        <v>56.5</v>
      </c>
      <c r="F11" s="95">
        <v>57.5</v>
      </c>
      <c r="G11" s="92">
        <v>58.0</v>
      </c>
      <c r="H11" s="95">
        <v>57.5</v>
      </c>
      <c r="I11" s="96">
        <v>60.0</v>
      </c>
      <c r="J11" s="89">
        <v>58.0</v>
      </c>
      <c r="K11" s="89">
        <v>60.0</v>
      </c>
      <c r="L11" s="2"/>
      <c r="M11" s="2"/>
      <c r="N11" s="5"/>
      <c r="O11" s="5">
        <v>45623.0</v>
      </c>
      <c r="P11" s="5">
        <v>45625.0</v>
      </c>
      <c r="Q11" s="5">
        <v>45627.0</v>
      </c>
      <c r="R11" s="5">
        <v>45629.0</v>
      </c>
      <c r="S11" s="5"/>
      <c r="T11" s="5"/>
      <c r="U11" s="5"/>
      <c r="V11" s="5"/>
      <c r="W11" s="5"/>
      <c r="X11" s="2"/>
      <c r="Y11" s="2"/>
      <c r="Z11" s="2"/>
    </row>
    <row r="12" ht="12.75" customHeight="1">
      <c r="A12" s="2"/>
      <c r="B12" s="94"/>
      <c r="C12" s="95">
        <v>3.0</v>
      </c>
      <c r="D12" s="96">
        <v>4.0</v>
      </c>
      <c r="E12" s="95">
        <v>3.0</v>
      </c>
      <c r="F12" s="95">
        <v>5.0</v>
      </c>
      <c r="G12" s="96">
        <v>3.0</v>
      </c>
      <c r="H12" s="95">
        <v>6.0</v>
      </c>
      <c r="I12" s="96">
        <v>3.0</v>
      </c>
      <c r="J12" s="95">
        <v>6.0</v>
      </c>
      <c r="K12" s="95">
        <v>3.0</v>
      </c>
      <c r="L12" s="2"/>
      <c r="M12" s="2"/>
      <c r="N12" s="88" t="s">
        <v>187</v>
      </c>
      <c r="O12" s="2">
        <v>61.3</v>
      </c>
      <c r="P12" s="2">
        <v>63.3</v>
      </c>
      <c r="Q12" s="2">
        <v>61.3</v>
      </c>
      <c r="R12" s="2">
        <v>65.5</v>
      </c>
      <c r="S12" s="2"/>
      <c r="T12" s="2"/>
      <c r="U12" s="2"/>
      <c r="V12" s="2"/>
      <c r="W12" s="2"/>
      <c r="X12" s="2"/>
      <c r="Y12" s="2"/>
      <c r="Z12" s="2"/>
    </row>
    <row r="13" ht="12.75" customHeight="1">
      <c r="A13" s="2"/>
      <c r="B13" s="94"/>
      <c r="C13" s="89">
        <v>56.5</v>
      </c>
      <c r="D13" s="90">
        <v>56.5</v>
      </c>
      <c r="E13" s="89">
        <v>56.5</v>
      </c>
      <c r="F13" s="95">
        <v>57.0</v>
      </c>
      <c r="G13" s="92">
        <v>58.0</v>
      </c>
      <c r="H13" s="95">
        <v>57.0</v>
      </c>
      <c r="I13" s="96">
        <v>60.0</v>
      </c>
      <c r="J13" s="89">
        <v>58.0</v>
      </c>
      <c r="K13" s="89">
        <v>60.0</v>
      </c>
      <c r="L13" s="2"/>
      <c r="M13" s="2"/>
      <c r="N13" s="88" t="s">
        <v>176</v>
      </c>
      <c r="O13" s="2">
        <v>53.2</v>
      </c>
      <c r="P13" s="2"/>
      <c r="Q13" s="2">
        <v>53.2</v>
      </c>
      <c r="R13" s="2">
        <v>55.0</v>
      </c>
      <c r="S13" s="2"/>
      <c r="T13" s="2"/>
      <c r="U13" s="2"/>
      <c r="V13" s="2"/>
      <c r="W13" s="2"/>
      <c r="X13" s="2"/>
      <c r="Y13" s="2"/>
      <c r="Z13" s="2"/>
    </row>
    <row r="14" ht="12.75" customHeight="1">
      <c r="A14" s="2"/>
      <c r="B14" s="94"/>
      <c r="C14" s="95">
        <v>3.0</v>
      </c>
      <c r="D14" s="96">
        <v>4.0</v>
      </c>
      <c r="E14" s="95">
        <v>3.0</v>
      </c>
      <c r="F14" s="95">
        <v>5.0</v>
      </c>
      <c r="G14" s="96">
        <v>3.0</v>
      </c>
      <c r="H14" s="95">
        <v>6.0</v>
      </c>
      <c r="I14" s="96">
        <v>3.0</v>
      </c>
      <c r="J14" s="95">
        <v>6.0</v>
      </c>
      <c r="K14" s="95">
        <v>3.0</v>
      </c>
      <c r="L14" s="2"/>
      <c r="M14" s="2"/>
      <c r="N14" s="88" t="s">
        <v>188</v>
      </c>
      <c r="O14" s="94"/>
      <c r="P14" s="2">
        <v>38.3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2.75" customHeight="1">
      <c r="A15" s="2"/>
      <c r="B15" s="94"/>
      <c r="C15" s="89">
        <v>56.5</v>
      </c>
      <c r="D15" s="90">
        <v>56.5</v>
      </c>
      <c r="E15" s="89">
        <v>56.5</v>
      </c>
      <c r="F15" s="95">
        <v>56.5</v>
      </c>
      <c r="G15" s="92">
        <v>58.0</v>
      </c>
      <c r="H15" s="95">
        <v>56.5</v>
      </c>
      <c r="I15" s="96">
        <v>60.0</v>
      </c>
      <c r="J15" s="89">
        <v>58.0</v>
      </c>
      <c r="K15" s="89">
        <v>60.0</v>
      </c>
      <c r="L15" s="2"/>
      <c r="M15" s="2"/>
      <c r="N15" s="88" t="s">
        <v>201</v>
      </c>
      <c r="O15" s="94"/>
      <c r="P15" s="2">
        <v>59.8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2.75" customHeight="1">
      <c r="A16" s="2"/>
      <c r="B16" s="94"/>
      <c r="C16" s="95">
        <v>3.0</v>
      </c>
      <c r="D16" s="96">
        <v>4.0</v>
      </c>
      <c r="E16" s="95">
        <v>3.0</v>
      </c>
      <c r="F16" s="95">
        <v>5.0</v>
      </c>
      <c r="G16" s="96">
        <v>3.0</v>
      </c>
      <c r="H16" s="95">
        <v>6.0</v>
      </c>
      <c r="I16" s="96">
        <v>3.0</v>
      </c>
      <c r="J16" s="95">
        <v>6.0</v>
      </c>
      <c r="K16" s="95">
        <v>3.0</v>
      </c>
      <c r="L16" s="2"/>
      <c r="M16" s="2"/>
      <c r="N16" s="88" t="s">
        <v>200</v>
      </c>
      <c r="O16" s="94"/>
      <c r="P16" s="2">
        <v>15.6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2.75" customHeight="1">
      <c r="A17" s="2"/>
      <c r="B17" s="94"/>
      <c r="C17" s="89">
        <v>56.5</v>
      </c>
      <c r="D17" s="90">
        <v>56.5</v>
      </c>
      <c r="E17" s="89">
        <v>56.5</v>
      </c>
      <c r="F17" s="95">
        <v>56.0</v>
      </c>
      <c r="G17" s="92">
        <v>58.0</v>
      </c>
      <c r="H17" s="95">
        <v>56.0</v>
      </c>
      <c r="I17" s="96">
        <v>60.0</v>
      </c>
      <c r="J17" s="89">
        <v>58.0</v>
      </c>
      <c r="K17" s="89">
        <v>60.0</v>
      </c>
      <c r="L17" s="2"/>
      <c r="M17" s="2"/>
      <c r="N17" s="88" t="s">
        <v>178</v>
      </c>
      <c r="O17" s="2">
        <v>13.0</v>
      </c>
      <c r="P17" s="2"/>
      <c r="Q17" s="2">
        <v>13.0</v>
      </c>
      <c r="R17" s="2"/>
      <c r="S17" s="2"/>
      <c r="T17" s="2"/>
      <c r="U17" s="2"/>
      <c r="V17" s="2"/>
      <c r="W17" s="2"/>
      <c r="X17" s="2"/>
      <c r="Y17" s="2"/>
      <c r="Z17" s="2"/>
    </row>
    <row r="18" ht="12.75" customHeight="1">
      <c r="A18" s="2"/>
      <c r="B18" s="94"/>
      <c r="C18" s="95">
        <v>3.0</v>
      </c>
      <c r="D18" s="96">
        <v>4.0</v>
      </c>
      <c r="E18" s="95">
        <v>3.0</v>
      </c>
      <c r="F18" s="95">
        <v>5.0</v>
      </c>
      <c r="G18" s="96">
        <v>3.0</v>
      </c>
      <c r="H18" s="95">
        <v>6.0</v>
      </c>
      <c r="I18" s="96">
        <v>3.0</v>
      </c>
      <c r="J18" s="95">
        <v>6.0</v>
      </c>
      <c r="K18" s="95">
        <v>3.0</v>
      </c>
      <c r="L18" s="2"/>
      <c r="M18" s="2"/>
      <c r="N18" s="88" t="s">
        <v>181</v>
      </c>
      <c r="O18" s="2">
        <v>31.8</v>
      </c>
      <c r="P18" s="2">
        <v>28.9</v>
      </c>
      <c r="Q18" s="2">
        <v>28.9</v>
      </c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2"/>
      <c r="B19" s="94"/>
      <c r="C19" s="89">
        <v>56.5</v>
      </c>
      <c r="D19" s="90">
        <v>56.5</v>
      </c>
      <c r="E19" s="89">
        <v>56.5</v>
      </c>
      <c r="F19" s="95">
        <v>55.5</v>
      </c>
      <c r="G19" s="92">
        <v>58.0</v>
      </c>
      <c r="H19" s="95">
        <v>55.5</v>
      </c>
      <c r="I19" s="96">
        <v>60.0</v>
      </c>
      <c r="J19" s="89">
        <v>58.0</v>
      </c>
      <c r="K19" s="89">
        <v>60.0</v>
      </c>
      <c r="L19" s="2"/>
      <c r="M19" s="2"/>
      <c r="N19" s="88" t="s">
        <v>184</v>
      </c>
      <c r="O19" s="2">
        <v>3.5</v>
      </c>
      <c r="P19" s="2"/>
      <c r="Q19" s="2">
        <v>4.2</v>
      </c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2"/>
      <c r="B20" s="94"/>
      <c r="C20" s="95">
        <v>3.0</v>
      </c>
      <c r="D20" s="96">
        <v>4.0</v>
      </c>
      <c r="E20" s="95">
        <v>3.0</v>
      </c>
      <c r="F20" s="95">
        <v>5.0</v>
      </c>
      <c r="G20" s="96">
        <v>3.0</v>
      </c>
      <c r="H20" s="95">
        <v>6.0</v>
      </c>
      <c r="I20" s="96">
        <v>3.0</v>
      </c>
      <c r="J20" s="95">
        <v>6.0</v>
      </c>
      <c r="K20" s="95">
        <v>3.0</v>
      </c>
      <c r="L20" s="2"/>
      <c r="M20" s="2"/>
      <c r="N20" s="94"/>
      <c r="O20" s="94"/>
      <c r="P20" s="94"/>
      <c r="Q20" s="94"/>
      <c r="R20" s="94"/>
      <c r="S20" s="2"/>
      <c r="T20" s="2"/>
      <c r="U20" s="2"/>
      <c r="V20" s="2"/>
      <c r="W20" s="2"/>
      <c r="X20" s="2"/>
      <c r="Y20" s="2"/>
      <c r="Z20" s="2"/>
    </row>
    <row r="21" ht="12.75" customHeight="1">
      <c r="A21" s="5"/>
      <c r="B21" s="95" t="s">
        <v>202</v>
      </c>
      <c r="C21" s="95">
        <v>43.0</v>
      </c>
      <c r="D21" s="94"/>
      <c r="E21" s="95">
        <v>43.0</v>
      </c>
      <c r="F21" s="95">
        <v>44.5</v>
      </c>
      <c r="G21" s="94"/>
      <c r="H21" s="96">
        <v>45.0</v>
      </c>
      <c r="I21" s="96">
        <v>47.0</v>
      </c>
      <c r="J21" s="94"/>
      <c r="K21" s="94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2.75" customHeight="1">
      <c r="A22" s="2"/>
      <c r="B22" s="94"/>
      <c r="C22" s="95">
        <v>8.0</v>
      </c>
      <c r="D22" s="94"/>
      <c r="E22" s="95">
        <v>8.0</v>
      </c>
      <c r="F22" s="95">
        <v>8.0</v>
      </c>
      <c r="G22" s="94"/>
      <c r="H22" s="96">
        <v>8.0</v>
      </c>
      <c r="I22" s="96">
        <v>6.0</v>
      </c>
      <c r="J22" s="94"/>
      <c r="K22" s="94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2.75" customHeight="1">
      <c r="A23" s="2"/>
      <c r="B23" s="94"/>
      <c r="C23" s="95">
        <v>43.0</v>
      </c>
      <c r="D23" s="94"/>
      <c r="E23" s="95">
        <v>43.0</v>
      </c>
      <c r="F23" s="95">
        <v>44.5</v>
      </c>
      <c r="G23" s="94"/>
      <c r="H23" s="96">
        <v>45.0</v>
      </c>
      <c r="I23" s="96">
        <v>47.0</v>
      </c>
      <c r="J23" s="94"/>
      <c r="K23" s="94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2.75" customHeight="1">
      <c r="A24" s="2"/>
      <c r="B24" s="94"/>
      <c r="C24" s="95">
        <v>8.0</v>
      </c>
      <c r="D24" s="94"/>
      <c r="E24" s="95">
        <v>8.0</v>
      </c>
      <c r="F24" s="95">
        <v>8.0</v>
      </c>
      <c r="G24" s="94"/>
      <c r="H24" s="96">
        <v>8.0</v>
      </c>
      <c r="I24" s="96">
        <v>6.0</v>
      </c>
      <c r="J24" s="94"/>
      <c r="K24" s="94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2.75" customHeight="1">
      <c r="A25" s="2"/>
      <c r="B25" s="94"/>
      <c r="C25" s="95">
        <v>43.0</v>
      </c>
      <c r="D25" s="94"/>
      <c r="E25" s="95">
        <v>43.0</v>
      </c>
      <c r="F25" s="95">
        <v>44.5</v>
      </c>
      <c r="G25" s="94"/>
      <c r="H25" s="96">
        <v>45.0</v>
      </c>
      <c r="I25" s="96">
        <v>47.0</v>
      </c>
      <c r="J25" s="94"/>
      <c r="K25" s="94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2.75" customHeight="1">
      <c r="A26" s="2"/>
      <c r="B26" s="94"/>
      <c r="C26" s="95">
        <v>8.0</v>
      </c>
      <c r="D26" s="94"/>
      <c r="E26" s="95">
        <v>8.0</v>
      </c>
      <c r="F26" s="95">
        <v>8.0</v>
      </c>
      <c r="G26" s="94"/>
      <c r="H26" s="96">
        <v>8.0</v>
      </c>
      <c r="I26" s="96">
        <v>6.0</v>
      </c>
      <c r="J26" s="94"/>
      <c r="K26" s="94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2.75" customHeight="1">
      <c r="A27" s="2"/>
      <c r="B27" s="94"/>
      <c r="C27" s="95">
        <v>43.0</v>
      </c>
      <c r="D27" s="94"/>
      <c r="E27" s="95">
        <v>43.0</v>
      </c>
      <c r="F27" s="95">
        <v>44.5</v>
      </c>
      <c r="G27" s="94"/>
      <c r="H27" s="96">
        <v>45.0</v>
      </c>
      <c r="I27" s="96">
        <v>47.0</v>
      </c>
      <c r="J27" s="94"/>
      <c r="K27" s="94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2.75" customHeight="1">
      <c r="A28" s="2"/>
      <c r="B28" s="94"/>
      <c r="C28" s="95">
        <v>8.0</v>
      </c>
      <c r="D28" s="94"/>
      <c r="E28" s="95">
        <v>8.0</v>
      </c>
      <c r="F28" s="95">
        <v>8.0</v>
      </c>
      <c r="G28" s="94"/>
      <c r="H28" s="96">
        <v>8.0</v>
      </c>
      <c r="I28" s="96">
        <v>6.0</v>
      </c>
      <c r="J28" s="94"/>
      <c r="K28" s="94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2.75" customHeight="1">
      <c r="A29" s="2"/>
      <c r="B29" s="95" t="s">
        <v>203</v>
      </c>
      <c r="C29" s="94"/>
      <c r="D29" s="95">
        <v>31.0</v>
      </c>
      <c r="E29" s="94"/>
      <c r="F29" s="94"/>
      <c r="G29" s="95">
        <v>33.0</v>
      </c>
      <c r="H29" s="94"/>
      <c r="I29" s="94"/>
      <c r="J29" s="95">
        <v>34.5</v>
      </c>
      <c r="K29" s="94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2.75" customHeight="1">
      <c r="A30" s="2"/>
      <c r="B30" s="94"/>
      <c r="C30" s="94"/>
      <c r="D30" s="95">
        <v>8.0</v>
      </c>
      <c r="E30" s="94"/>
      <c r="F30" s="94"/>
      <c r="G30" s="95">
        <v>8.0</v>
      </c>
      <c r="H30" s="94"/>
      <c r="I30" s="94"/>
      <c r="J30" s="95">
        <v>6.0</v>
      </c>
      <c r="K30" s="94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2.75" customHeight="1">
      <c r="A31" s="2"/>
      <c r="B31" s="94"/>
      <c r="C31" s="94"/>
      <c r="D31" s="95">
        <v>31.0</v>
      </c>
      <c r="E31" s="94"/>
      <c r="F31" s="94"/>
      <c r="G31" s="95">
        <v>32.5</v>
      </c>
      <c r="H31" s="94"/>
      <c r="I31" s="94"/>
      <c r="J31" s="95">
        <v>34.5</v>
      </c>
      <c r="K31" s="94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2.75" customHeight="1">
      <c r="A32" s="2"/>
      <c r="B32" s="94"/>
      <c r="C32" s="94"/>
      <c r="D32" s="95">
        <v>8.0</v>
      </c>
      <c r="E32" s="94"/>
      <c r="F32" s="94"/>
      <c r="G32" s="95">
        <v>8.0</v>
      </c>
      <c r="H32" s="94"/>
      <c r="I32" s="94"/>
      <c r="J32" s="95">
        <v>6.0</v>
      </c>
      <c r="K32" s="94"/>
      <c r="L32" s="94"/>
      <c r="M32" s="2"/>
      <c r="N32" s="94"/>
      <c r="O32" s="94"/>
      <c r="P32" s="94"/>
      <c r="Q32" s="94"/>
      <c r="R32" s="94"/>
      <c r="S32" s="2"/>
      <c r="T32" s="2"/>
      <c r="U32" s="2"/>
      <c r="V32" s="2"/>
      <c r="W32" s="2"/>
      <c r="X32" s="2"/>
      <c r="Y32" s="2"/>
      <c r="Z32" s="2"/>
    </row>
    <row r="33" ht="12.75" customHeight="1">
      <c r="A33" s="2"/>
      <c r="B33" s="94"/>
      <c r="C33" s="94"/>
      <c r="D33" s="95">
        <v>31.0</v>
      </c>
      <c r="E33" s="94"/>
      <c r="F33" s="94"/>
      <c r="G33" s="95">
        <v>32.0</v>
      </c>
      <c r="H33" s="94"/>
      <c r="I33" s="94"/>
      <c r="J33" s="95">
        <v>34.5</v>
      </c>
      <c r="K33" s="94"/>
      <c r="L33" s="94"/>
      <c r="M33" s="2"/>
      <c r="N33" s="94"/>
      <c r="O33" s="94"/>
      <c r="P33" s="94"/>
      <c r="Q33" s="94"/>
      <c r="R33" s="94"/>
      <c r="S33" s="2"/>
      <c r="T33" s="2"/>
      <c r="U33" s="2"/>
      <c r="V33" s="2"/>
      <c r="W33" s="2"/>
      <c r="X33" s="2"/>
      <c r="Y33" s="2"/>
      <c r="Z33" s="2"/>
    </row>
    <row r="34" ht="12.75" customHeight="1">
      <c r="A34" s="2"/>
      <c r="B34" s="94"/>
      <c r="C34" s="94"/>
      <c r="D34" s="95">
        <v>8.0</v>
      </c>
      <c r="E34" s="94"/>
      <c r="F34" s="94"/>
      <c r="G34" s="95">
        <v>8.0</v>
      </c>
      <c r="H34" s="94"/>
      <c r="I34" s="94"/>
      <c r="J34" s="95">
        <v>6.0</v>
      </c>
      <c r="K34" s="94"/>
      <c r="L34" s="94"/>
      <c r="M34" s="2"/>
      <c r="N34" s="94"/>
      <c r="O34" s="94"/>
      <c r="P34" s="94"/>
      <c r="Q34" s="94"/>
      <c r="R34" s="94"/>
      <c r="S34" s="2"/>
      <c r="T34" s="2"/>
      <c r="U34" s="2"/>
      <c r="V34" s="2"/>
      <c r="W34" s="2"/>
      <c r="X34" s="2"/>
      <c r="Y34" s="2"/>
      <c r="Z34" s="2"/>
    </row>
    <row r="35" ht="12.75" customHeight="1">
      <c r="A35" s="2"/>
      <c r="B35" s="2"/>
      <c r="C35" s="2"/>
      <c r="D35" s="95">
        <v>31.0</v>
      </c>
      <c r="E35" s="94"/>
      <c r="F35" s="2"/>
      <c r="G35" s="95">
        <v>31.5</v>
      </c>
      <c r="H35" s="2"/>
      <c r="I35" s="2"/>
      <c r="J35" s="95">
        <v>34.5</v>
      </c>
      <c r="K35" s="94"/>
      <c r="L35" s="94"/>
      <c r="M35" s="2"/>
      <c r="N35" s="94"/>
      <c r="O35" s="94"/>
      <c r="P35" s="94"/>
      <c r="Q35" s="94"/>
      <c r="R35" s="94"/>
      <c r="S35" s="2"/>
      <c r="T35" s="2"/>
      <c r="U35" s="2"/>
      <c r="V35" s="2"/>
      <c r="W35" s="2"/>
      <c r="X35" s="2"/>
      <c r="Y35" s="2"/>
      <c r="Z35" s="2"/>
    </row>
    <row r="36" ht="12.75" customHeight="1">
      <c r="A36" s="2"/>
      <c r="B36" s="2"/>
      <c r="C36" s="2"/>
      <c r="D36" s="95">
        <v>8.0</v>
      </c>
      <c r="E36" s="2"/>
      <c r="F36" s="2"/>
      <c r="G36" s="95">
        <v>8.0</v>
      </c>
      <c r="H36" s="2"/>
      <c r="I36" s="2"/>
      <c r="J36" s="95">
        <v>6.0</v>
      </c>
      <c r="K36" s="94"/>
      <c r="L36" s="94"/>
      <c r="M36" s="2"/>
      <c r="N36" s="2"/>
      <c r="O36" s="35">
        <v>45629.0</v>
      </c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2.75" customHeight="1">
      <c r="A37" s="2"/>
      <c r="B37" s="91" t="s">
        <v>178</v>
      </c>
      <c r="C37" s="91">
        <v>10.0</v>
      </c>
      <c r="D37" s="2"/>
      <c r="E37" s="91">
        <v>10.0</v>
      </c>
      <c r="F37" s="91">
        <v>10.5</v>
      </c>
      <c r="G37" s="2"/>
      <c r="H37" s="91">
        <v>10.5</v>
      </c>
      <c r="I37" s="91">
        <v>12.0</v>
      </c>
      <c r="J37" s="2"/>
      <c r="K37" s="94"/>
      <c r="L37" s="94"/>
      <c r="M37" s="2"/>
      <c r="N37" s="2"/>
      <c r="O37" s="2">
        <v>50.0</v>
      </c>
      <c r="P37" s="2"/>
      <c r="Q37" s="2" t="s">
        <v>26</v>
      </c>
      <c r="R37" s="208">
        <v>44.5</v>
      </c>
      <c r="S37" s="2"/>
      <c r="T37" s="2"/>
      <c r="U37" s="2"/>
      <c r="V37" s="2"/>
      <c r="W37" s="2"/>
      <c r="X37" s="2"/>
      <c r="Y37" s="2"/>
      <c r="Z37" s="2"/>
    </row>
    <row r="38" ht="12.75" customHeight="1">
      <c r="A38" s="2"/>
      <c r="B38" s="2"/>
      <c r="C38" s="91">
        <v>10.0</v>
      </c>
      <c r="D38" s="2"/>
      <c r="E38" s="91">
        <v>10.0</v>
      </c>
      <c r="F38" s="91">
        <v>10.0</v>
      </c>
      <c r="G38" s="2"/>
      <c r="H38" s="91">
        <v>10.0</v>
      </c>
      <c r="I38" s="91">
        <v>10.0</v>
      </c>
      <c r="J38" s="2"/>
      <c r="K38" s="94"/>
      <c r="L38" s="94"/>
      <c r="M38" s="2"/>
      <c r="N38" s="2"/>
      <c r="O38" s="2">
        <v>5.0</v>
      </c>
      <c r="P38" s="2"/>
      <c r="Q38" s="2" t="s">
        <v>37</v>
      </c>
      <c r="R38" s="208">
        <v>8.0</v>
      </c>
      <c r="S38" s="2"/>
      <c r="T38" s="2"/>
      <c r="U38" s="2"/>
      <c r="V38" s="2"/>
      <c r="W38" s="2"/>
      <c r="X38" s="2"/>
      <c r="Y38" s="2"/>
      <c r="Z38" s="2"/>
    </row>
    <row r="39" ht="12.75" customHeight="1">
      <c r="A39" s="2"/>
      <c r="B39" s="2"/>
      <c r="C39" s="91">
        <v>10.0</v>
      </c>
      <c r="D39" s="2"/>
      <c r="E39" s="91">
        <v>10.0</v>
      </c>
      <c r="F39" s="91">
        <v>10.5</v>
      </c>
      <c r="G39" s="2"/>
      <c r="H39" s="91">
        <v>10.5</v>
      </c>
      <c r="I39" s="91">
        <v>12.0</v>
      </c>
      <c r="J39" s="2"/>
      <c r="K39" s="94"/>
      <c r="L39" s="94"/>
      <c r="M39" s="2"/>
      <c r="N39" s="2"/>
      <c r="O39" s="2">
        <v>49.5</v>
      </c>
      <c r="P39" s="2"/>
      <c r="Q39" s="2" t="s">
        <v>36</v>
      </c>
      <c r="R39" s="208">
        <f>ROUND(IF(R38&lt;10,AVERAGE(R37/(1.0278-0.0278*R38),R37*R38^0.1),AVERAGE(R37*(1+0.0333*R38),R37*R38^0.1)),1)</f>
        <v>55</v>
      </c>
      <c r="S39" s="2"/>
      <c r="T39" s="2"/>
      <c r="U39" s="2"/>
      <c r="V39" s="2"/>
      <c r="W39" s="2"/>
      <c r="X39" s="2"/>
      <c r="Y39" s="2"/>
      <c r="Z39" s="2"/>
    </row>
    <row r="40" ht="12.75" customHeight="1">
      <c r="A40" s="2"/>
      <c r="B40" s="2"/>
      <c r="C40" s="91">
        <v>10.0</v>
      </c>
      <c r="D40" s="2"/>
      <c r="E40" s="91">
        <v>10.0</v>
      </c>
      <c r="F40" s="91">
        <v>10.0</v>
      </c>
      <c r="G40" s="2"/>
      <c r="H40" s="91">
        <v>10.0</v>
      </c>
      <c r="I40" s="91">
        <v>10.0</v>
      </c>
      <c r="J40" s="2"/>
      <c r="K40" s="94"/>
      <c r="L40" s="94"/>
      <c r="M40" s="2"/>
      <c r="N40" s="2"/>
      <c r="O40" s="2">
        <v>5.0</v>
      </c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2.75" customHeight="1">
      <c r="A41" s="2"/>
      <c r="B41" s="94"/>
      <c r="C41" s="91">
        <v>10.0</v>
      </c>
      <c r="D41" s="94"/>
      <c r="E41" s="91">
        <v>10.0</v>
      </c>
      <c r="F41" s="91">
        <v>10.5</v>
      </c>
      <c r="G41" s="94"/>
      <c r="H41" s="91">
        <v>10.5</v>
      </c>
      <c r="I41" s="91">
        <v>12.0</v>
      </c>
      <c r="J41" s="94"/>
      <c r="K41" s="94"/>
      <c r="L41" s="94"/>
      <c r="M41" s="2"/>
      <c r="N41" s="2"/>
      <c r="O41" s="2">
        <v>49.0</v>
      </c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2.75" customHeight="1">
      <c r="A42" s="2"/>
      <c r="B42" s="94"/>
      <c r="C42" s="91">
        <v>10.0</v>
      </c>
      <c r="D42" s="94"/>
      <c r="E42" s="91">
        <v>10.0</v>
      </c>
      <c r="F42" s="91">
        <v>10.0</v>
      </c>
      <c r="G42" s="94"/>
      <c r="H42" s="91">
        <v>10.0</v>
      </c>
      <c r="I42" s="91">
        <v>10.0</v>
      </c>
      <c r="J42" s="94"/>
      <c r="K42" s="94"/>
      <c r="L42" s="94"/>
      <c r="M42" s="2"/>
      <c r="N42" s="2"/>
      <c r="O42" s="2">
        <v>5.0</v>
      </c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2.75" customHeight="1">
      <c r="A43" s="2"/>
      <c r="B43" s="95" t="s">
        <v>204</v>
      </c>
      <c r="C43" s="95">
        <v>22.6</v>
      </c>
      <c r="D43" s="94"/>
      <c r="E43" s="95">
        <v>22.6</v>
      </c>
      <c r="F43" s="94"/>
      <c r="G43" s="95">
        <v>20.6</v>
      </c>
      <c r="H43" s="94"/>
      <c r="I43" s="94"/>
      <c r="J43" s="94"/>
      <c r="K43" s="94"/>
      <c r="L43" s="94"/>
      <c r="M43" s="2"/>
      <c r="N43" s="2"/>
      <c r="O43" s="2">
        <v>48.5</v>
      </c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2.75" customHeight="1">
      <c r="A44" s="2"/>
      <c r="B44" s="94"/>
      <c r="C44" s="95">
        <v>15.0</v>
      </c>
      <c r="D44" s="94"/>
      <c r="E44" s="95">
        <v>15.0</v>
      </c>
      <c r="F44" s="94"/>
      <c r="G44" s="95">
        <v>15.0</v>
      </c>
      <c r="H44" s="94"/>
      <c r="I44" s="94"/>
      <c r="J44" s="94"/>
      <c r="K44" s="94"/>
      <c r="L44" s="94"/>
      <c r="M44" s="2"/>
      <c r="N44" s="2"/>
      <c r="O44" s="2">
        <v>5.0</v>
      </c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2.75" customHeight="1">
      <c r="A45" s="2"/>
      <c r="B45" s="94"/>
      <c r="C45" s="95">
        <v>22.6</v>
      </c>
      <c r="D45" s="94"/>
      <c r="E45" s="95">
        <v>22.6</v>
      </c>
      <c r="F45" s="94"/>
      <c r="G45" s="95">
        <v>20.6</v>
      </c>
      <c r="H45" s="94"/>
      <c r="I45" s="94"/>
      <c r="J45" s="94"/>
      <c r="K45" s="94"/>
      <c r="L45" s="94"/>
      <c r="M45" s="2"/>
      <c r="N45" s="2"/>
      <c r="O45" s="2">
        <v>48.0</v>
      </c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2.75" customHeight="1">
      <c r="A46" s="2"/>
      <c r="B46" s="94"/>
      <c r="C46" s="95">
        <v>15.0</v>
      </c>
      <c r="D46" s="94"/>
      <c r="E46" s="95">
        <v>15.0</v>
      </c>
      <c r="F46" s="94"/>
      <c r="G46" s="95">
        <v>15.0</v>
      </c>
      <c r="H46" s="94"/>
      <c r="I46" s="94"/>
      <c r="J46" s="94"/>
      <c r="K46" s="94"/>
      <c r="L46" s="94"/>
      <c r="M46" s="2"/>
      <c r="N46" s="2"/>
      <c r="O46" s="2">
        <v>5.0</v>
      </c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2.75" customHeight="1">
      <c r="A47" s="2"/>
      <c r="B47" s="94"/>
      <c r="C47" s="95">
        <v>22.6</v>
      </c>
      <c r="D47" s="94"/>
      <c r="E47" s="95">
        <v>22.6</v>
      </c>
      <c r="F47" s="94"/>
      <c r="G47" s="95">
        <v>20.6</v>
      </c>
      <c r="H47" s="94"/>
      <c r="I47" s="94"/>
      <c r="J47" s="94"/>
      <c r="K47" s="94"/>
      <c r="L47" s="94"/>
      <c r="M47" s="2"/>
      <c r="N47" s="2"/>
      <c r="O47" s="2">
        <v>47.5</v>
      </c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2.75" customHeight="1">
      <c r="A48" s="2"/>
      <c r="B48" s="94"/>
      <c r="C48" s="95">
        <v>15.0</v>
      </c>
      <c r="D48" s="94"/>
      <c r="E48" s="95">
        <v>15.0</v>
      </c>
      <c r="F48" s="94"/>
      <c r="G48" s="95">
        <v>15.0</v>
      </c>
      <c r="H48" s="94"/>
      <c r="I48" s="94"/>
      <c r="J48" s="94"/>
      <c r="K48" s="94"/>
      <c r="L48" s="94"/>
      <c r="M48" s="2"/>
      <c r="N48" s="2"/>
      <c r="O48" s="2">
        <v>6.0</v>
      </c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2.75" customHeight="1">
      <c r="A49" s="2"/>
      <c r="B49" s="95" t="s">
        <v>205</v>
      </c>
      <c r="C49" s="95">
        <v>2.5</v>
      </c>
      <c r="D49" s="94"/>
      <c r="E49" s="95">
        <v>3.0</v>
      </c>
      <c r="F49" s="95">
        <v>3.5</v>
      </c>
      <c r="G49" s="94"/>
      <c r="H49" s="96">
        <v>3.5</v>
      </c>
      <c r="I49" s="96">
        <v>3.5</v>
      </c>
      <c r="J49" s="94"/>
      <c r="K49" s="94"/>
      <c r="L49" s="94"/>
      <c r="M49" s="2"/>
      <c r="N49" s="2" t="s">
        <v>36</v>
      </c>
      <c r="O49" s="2">
        <v>66.7</v>
      </c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2.75" customHeight="1">
      <c r="A50" s="2"/>
      <c r="B50" s="94"/>
      <c r="C50" s="95">
        <v>15.0</v>
      </c>
      <c r="D50" s="94"/>
      <c r="E50" s="95">
        <v>15.0</v>
      </c>
      <c r="F50" s="95">
        <v>15.0</v>
      </c>
      <c r="G50" s="94"/>
      <c r="H50" s="96">
        <v>15.0</v>
      </c>
      <c r="I50" s="96">
        <v>15.0</v>
      </c>
      <c r="J50" s="94"/>
      <c r="K50" s="94"/>
      <c r="L50" s="94"/>
      <c r="M50" s="2"/>
      <c r="N50" s="2" t="s">
        <v>36</v>
      </c>
      <c r="O50" s="2">
        <v>66.1</v>
      </c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2.75" customHeight="1">
      <c r="A51" s="2"/>
      <c r="B51" s="94"/>
      <c r="C51" s="95">
        <v>2.5</v>
      </c>
      <c r="D51" s="94"/>
      <c r="E51" s="95">
        <v>3.0</v>
      </c>
      <c r="F51" s="95">
        <v>3.5</v>
      </c>
      <c r="G51" s="94"/>
      <c r="H51" s="96">
        <v>3.5</v>
      </c>
      <c r="I51" s="96">
        <v>3.5</v>
      </c>
      <c r="J51" s="94"/>
      <c r="K51" s="94"/>
      <c r="L51" s="94"/>
      <c r="M51" s="2"/>
      <c r="N51" s="2" t="s">
        <v>36</v>
      </c>
      <c r="O51" s="2">
        <v>65.5</v>
      </c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2.75" customHeight="1">
      <c r="A52" s="2"/>
      <c r="B52" s="94"/>
      <c r="C52" s="95">
        <v>15.0</v>
      </c>
      <c r="D52" s="94"/>
      <c r="E52" s="95">
        <v>15.0</v>
      </c>
      <c r="F52" s="95">
        <v>15.0</v>
      </c>
      <c r="G52" s="94"/>
      <c r="H52" s="96">
        <v>15.0</v>
      </c>
      <c r="I52" s="96">
        <v>15.0</v>
      </c>
      <c r="J52" s="94"/>
      <c r="K52" s="94"/>
      <c r="L52" s="2"/>
      <c r="M52" s="2"/>
      <c r="N52" s="2" t="s">
        <v>36</v>
      </c>
      <c r="O52" s="2">
        <v>65.0</v>
      </c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2.75" customHeight="1">
      <c r="A53" s="2"/>
      <c r="B53" s="94"/>
      <c r="C53" s="95">
        <v>2.5</v>
      </c>
      <c r="D53" s="94"/>
      <c r="E53" s="95">
        <v>3.0</v>
      </c>
      <c r="F53" s="95">
        <v>3.5</v>
      </c>
      <c r="G53" s="94"/>
      <c r="H53" s="96">
        <v>3.5</v>
      </c>
      <c r="I53" s="96">
        <v>3.5</v>
      </c>
      <c r="J53" s="94"/>
      <c r="K53" s="94"/>
      <c r="L53" s="2"/>
      <c r="M53" s="2"/>
      <c r="N53" s="2" t="s">
        <v>36</v>
      </c>
      <c r="O53" s="2">
        <v>64.4</v>
      </c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2.75" customHeight="1">
      <c r="A54" s="2"/>
      <c r="B54" s="94"/>
      <c r="C54" s="95">
        <v>15.0</v>
      </c>
      <c r="D54" s="94"/>
      <c r="E54" s="95">
        <v>15.0</v>
      </c>
      <c r="F54" s="95">
        <v>15.0</v>
      </c>
      <c r="G54" s="94"/>
      <c r="H54" s="96">
        <v>15.0</v>
      </c>
      <c r="I54" s="96">
        <v>15.0</v>
      </c>
      <c r="J54" s="94"/>
      <c r="K54" s="94"/>
      <c r="L54" s="2"/>
      <c r="M54" s="2"/>
      <c r="N54" s="2" t="s">
        <v>36</v>
      </c>
      <c r="O54" s="2">
        <v>65.4</v>
      </c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2.75" customHeight="1">
      <c r="A55" s="2"/>
      <c r="B55" s="95" t="s">
        <v>201</v>
      </c>
      <c r="C55" s="94"/>
      <c r="D55" s="95">
        <v>52.0</v>
      </c>
      <c r="E55" s="94"/>
      <c r="G55" s="95">
        <v>53.0</v>
      </c>
      <c r="H55" s="94"/>
      <c r="I55" s="94"/>
      <c r="J55" s="94"/>
      <c r="K55" s="94"/>
      <c r="L55" s="2"/>
      <c r="M55" s="2"/>
      <c r="N55" s="2" t="s">
        <v>206</v>
      </c>
      <c r="O55" s="209">
        <f>AVERAGE(O49:O54)</f>
        <v>65.51666667</v>
      </c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2.75" customHeight="1">
      <c r="A56" s="2"/>
      <c r="B56" s="94"/>
      <c r="C56" s="94"/>
      <c r="D56" s="95">
        <v>5.0</v>
      </c>
      <c r="E56" s="94"/>
      <c r="G56" s="95">
        <v>5.0</v>
      </c>
      <c r="H56" s="94"/>
      <c r="I56" s="94"/>
      <c r="J56" s="94"/>
      <c r="K56" s="94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2.75" customHeight="1">
      <c r="A57" s="2"/>
      <c r="B57" s="94"/>
      <c r="C57" s="94"/>
      <c r="D57" s="95">
        <v>52.0</v>
      </c>
      <c r="E57" s="94"/>
      <c r="G57" s="95">
        <v>53.0</v>
      </c>
      <c r="H57" s="94"/>
      <c r="I57" s="94"/>
      <c r="J57" s="94"/>
      <c r="K57" s="94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2.75" customHeight="1">
      <c r="A58" s="2"/>
      <c r="B58" s="94"/>
      <c r="C58" s="94"/>
      <c r="D58" s="95">
        <v>5.0</v>
      </c>
      <c r="E58" s="94"/>
      <c r="G58" s="95">
        <v>5.0</v>
      </c>
      <c r="H58" s="94"/>
      <c r="I58" s="94"/>
      <c r="J58" s="94"/>
      <c r="K58" s="94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2.75" customHeight="1">
      <c r="A59" s="2"/>
      <c r="B59" s="94"/>
      <c r="C59" s="94"/>
      <c r="D59" s="95">
        <v>52.0</v>
      </c>
      <c r="E59" s="94"/>
      <c r="G59" s="95">
        <v>53.0</v>
      </c>
      <c r="H59" s="94"/>
      <c r="I59" s="94"/>
      <c r="J59" s="94"/>
      <c r="K59" s="94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2.75" customHeight="1">
      <c r="A60" s="2"/>
      <c r="B60" s="2"/>
      <c r="C60" s="2"/>
      <c r="D60" s="91">
        <v>5.0</v>
      </c>
      <c r="E60" s="2"/>
      <c r="G60" s="91">
        <v>5.0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2.75" customHeight="1">
      <c r="A61" s="2"/>
      <c r="B61" s="91" t="s">
        <v>207</v>
      </c>
      <c r="C61" s="2"/>
      <c r="D61" s="91">
        <v>12.0</v>
      </c>
      <c r="E61" s="2"/>
      <c r="F61" s="2"/>
      <c r="G61" s="91">
        <v>13.0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2.75" customHeight="1">
      <c r="A62" s="2"/>
      <c r="B62" s="2"/>
      <c r="C62" s="2"/>
      <c r="D62" s="91">
        <v>10.0</v>
      </c>
      <c r="E62" s="2"/>
      <c r="F62" s="2"/>
      <c r="G62" s="91">
        <v>10.0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2.75" customHeight="1">
      <c r="A63" s="2"/>
      <c r="B63" s="2"/>
      <c r="C63" s="2"/>
      <c r="D63" s="91">
        <v>12.0</v>
      </c>
      <c r="E63" s="2"/>
      <c r="F63" s="2"/>
      <c r="G63" s="91">
        <v>13.0</v>
      </c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2.75" customHeight="1">
      <c r="A64" s="2"/>
      <c r="B64" s="2"/>
      <c r="C64" s="2"/>
      <c r="D64" s="91">
        <v>10.0</v>
      </c>
      <c r="E64" s="2"/>
      <c r="F64" s="2"/>
      <c r="G64" s="91">
        <v>10.0</v>
      </c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2.75" customHeight="1">
      <c r="A65" s="2"/>
      <c r="B65" s="2"/>
      <c r="C65" s="2"/>
      <c r="D65" s="91">
        <v>12.0</v>
      </c>
      <c r="E65" s="2"/>
      <c r="F65" s="2"/>
      <c r="G65" s="91">
        <v>13.0</v>
      </c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2.75" customHeight="1">
      <c r="A66" s="2"/>
      <c r="B66" s="2"/>
      <c r="C66" s="2"/>
      <c r="D66" s="91">
        <v>10.0</v>
      </c>
      <c r="E66" s="2"/>
      <c r="F66" s="2"/>
      <c r="G66" s="91">
        <v>10.0</v>
      </c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2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2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2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2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2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2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2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2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2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2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2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2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2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2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2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2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ht="12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3" t="s">
        <v>78</v>
      </c>
      <c r="B1" s="82" t="s">
        <v>208</v>
      </c>
      <c r="C1" s="83" t="s">
        <v>80</v>
      </c>
      <c r="D1" s="84">
        <v>44196.0</v>
      </c>
      <c r="E1" s="84">
        <v>44196.0</v>
      </c>
      <c r="F1" s="84">
        <v>44196.0</v>
      </c>
      <c r="G1" s="84">
        <v>44561.0</v>
      </c>
      <c r="H1" s="84">
        <v>44561.0</v>
      </c>
      <c r="I1" s="84">
        <v>44926.0</v>
      </c>
      <c r="J1" s="84">
        <v>44926.0</v>
      </c>
      <c r="K1" s="84">
        <v>44926.0</v>
      </c>
      <c r="L1" s="84">
        <v>45291.0</v>
      </c>
      <c r="M1" s="84">
        <v>45291.0</v>
      </c>
      <c r="N1" s="84">
        <v>45291.0</v>
      </c>
      <c r="O1" s="84">
        <v>45657.0</v>
      </c>
      <c r="P1" s="84">
        <v>45657.0</v>
      </c>
      <c r="Q1" s="84">
        <v>45657.0</v>
      </c>
      <c r="R1" s="75" t="s">
        <v>62</v>
      </c>
      <c r="S1" s="84"/>
      <c r="T1" s="84"/>
      <c r="U1" s="84"/>
      <c r="V1" s="84"/>
      <c r="W1" s="84"/>
      <c r="X1" s="84"/>
      <c r="Y1" s="75" t="s">
        <v>62</v>
      </c>
      <c r="Z1" s="53" t="s">
        <v>63</v>
      </c>
      <c r="AA1" s="51"/>
      <c r="AB1" s="51"/>
      <c r="AC1" s="51"/>
    </row>
    <row r="2" ht="9.75" customHeight="1">
      <c r="A2" s="51"/>
      <c r="B2" s="85" t="s">
        <v>81</v>
      </c>
      <c r="C2" s="86" t="s">
        <v>82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87"/>
      <c r="Z2" s="51"/>
      <c r="AA2" s="51"/>
      <c r="AB2" s="51"/>
      <c r="AC2" s="51"/>
    </row>
    <row r="3" ht="9.75" customHeight="1">
      <c r="A3" s="53" t="s">
        <v>39</v>
      </c>
      <c r="B3" s="126" t="s">
        <v>64</v>
      </c>
      <c r="C3" s="210">
        <v>8.0</v>
      </c>
      <c r="D3" s="211">
        <v>34.0</v>
      </c>
      <c r="E3" s="211"/>
      <c r="F3" s="211"/>
      <c r="G3" s="118">
        <v>30.0</v>
      </c>
      <c r="H3" s="118"/>
      <c r="I3" s="109">
        <v>36.0</v>
      </c>
      <c r="J3" s="109">
        <v>38.0</v>
      </c>
      <c r="K3" s="108"/>
      <c r="L3" s="107">
        <v>44.0</v>
      </c>
      <c r="M3" s="107"/>
      <c r="N3" s="212"/>
      <c r="O3" s="56">
        <v>70.0</v>
      </c>
      <c r="P3" s="56">
        <v>49.0</v>
      </c>
      <c r="Q3" s="56">
        <v>48.0</v>
      </c>
      <c r="R3" s="56"/>
      <c r="S3" s="56"/>
      <c r="T3" s="56"/>
      <c r="U3" s="56"/>
      <c r="V3" s="56"/>
      <c r="W3" s="53"/>
      <c r="X3" s="53"/>
      <c r="Y3" s="53"/>
      <c r="Z3" s="51"/>
      <c r="AA3" s="51"/>
      <c r="AB3" s="51"/>
      <c r="AC3" s="51"/>
    </row>
    <row r="4" ht="9.75" customHeight="1">
      <c r="A4" s="51"/>
      <c r="B4" s="126"/>
      <c r="C4" s="213"/>
      <c r="D4" s="113">
        <v>20.0</v>
      </c>
      <c r="E4" s="113"/>
      <c r="F4" s="113"/>
      <c r="G4" s="112">
        <v>20.0</v>
      </c>
      <c r="H4" s="112"/>
      <c r="I4" s="111">
        <v>20.0</v>
      </c>
      <c r="J4" s="111">
        <v>15.0</v>
      </c>
      <c r="K4" s="111"/>
      <c r="L4" s="112">
        <v>20.0</v>
      </c>
      <c r="M4" s="112"/>
      <c r="N4" s="212"/>
      <c r="O4" s="56">
        <v>12.0</v>
      </c>
      <c r="P4" s="56">
        <v>15.0</v>
      </c>
      <c r="Q4" s="56">
        <v>20.0</v>
      </c>
      <c r="R4" s="56"/>
      <c r="S4" s="56"/>
      <c r="T4" s="56"/>
      <c r="U4" s="56"/>
      <c r="V4" s="56"/>
      <c r="W4" s="53"/>
      <c r="X4" s="53"/>
      <c r="Y4" s="53"/>
      <c r="Z4" s="51"/>
      <c r="AA4" s="51"/>
      <c r="AB4" s="51"/>
      <c r="AC4" s="51"/>
    </row>
    <row r="5" ht="9.75" customHeight="1">
      <c r="A5" s="51"/>
      <c r="B5" s="126"/>
      <c r="C5" s="210"/>
      <c r="D5" s="211">
        <v>20.0</v>
      </c>
      <c r="E5" s="211"/>
      <c r="F5" s="211"/>
      <c r="G5" s="112">
        <v>20.0</v>
      </c>
      <c r="H5" s="112"/>
      <c r="I5" s="109">
        <v>20.0</v>
      </c>
      <c r="J5" s="111">
        <v>15.0</v>
      </c>
      <c r="K5" s="111"/>
      <c r="L5" s="107">
        <v>20.0</v>
      </c>
      <c r="M5" s="107"/>
      <c r="N5" s="212"/>
      <c r="O5" s="56">
        <v>12.0</v>
      </c>
      <c r="P5" s="56">
        <v>15.0</v>
      </c>
      <c r="Q5" s="56">
        <v>20.0</v>
      </c>
      <c r="R5" s="56"/>
      <c r="S5" s="56"/>
      <c r="T5" s="56"/>
      <c r="U5" s="56"/>
      <c r="V5" s="56"/>
      <c r="W5" s="53"/>
      <c r="X5" s="53"/>
      <c r="Y5" s="53"/>
      <c r="Z5" s="51"/>
      <c r="AA5" s="51"/>
      <c r="AB5" s="51"/>
      <c r="AC5" s="51"/>
    </row>
    <row r="6" ht="9.75" customHeight="1">
      <c r="A6" s="51"/>
      <c r="B6" s="126"/>
      <c r="C6" s="213"/>
      <c r="D6" s="113">
        <v>20.0</v>
      </c>
      <c r="E6" s="113"/>
      <c r="F6" s="113"/>
      <c r="G6" s="112">
        <v>20.0</v>
      </c>
      <c r="H6" s="112"/>
      <c r="I6" s="111">
        <v>20.0</v>
      </c>
      <c r="J6" s="111">
        <v>15.0</v>
      </c>
      <c r="K6" s="111"/>
      <c r="L6" s="112">
        <v>20.0</v>
      </c>
      <c r="M6" s="112"/>
      <c r="N6" s="212"/>
      <c r="O6" s="56">
        <v>12.0</v>
      </c>
      <c r="P6" s="56">
        <v>15.0</v>
      </c>
      <c r="Q6" s="56">
        <v>20.0</v>
      </c>
      <c r="R6" s="56"/>
      <c r="S6" s="56"/>
      <c r="T6" s="56"/>
      <c r="U6" s="56"/>
      <c r="V6" s="56"/>
      <c r="W6" s="53"/>
      <c r="X6" s="53"/>
      <c r="Y6" s="53"/>
      <c r="Z6" s="51"/>
      <c r="AA6" s="51"/>
      <c r="AB6" s="51"/>
      <c r="AC6" s="51"/>
    </row>
    <row r="7" ht="9.75" customHeight="1">
      <c r="A7" s="51"/>
      <c r="B7" s="126"/>
      <c r="C7" s="213"/>
      <c r="D7" s="211"/>
      <c r="E7" s="211"/>
      <c r="F7" s="211"/>
      <c r="G7" s="112"/>
      <c r="H7" s="112"/>
      <c r="I7" s="109"/>
      <c r="J7" s="111"/>
      <c r="K7" s="111"/>
      <c r="L7" s="107"/>
      <c r="M7" s="107"/>
      <c r="N7" s="212"/>
      <c r="O7" s="56"/>
      <c r="P7" s="56"/>
      <c r="Q7" s="56"/>
      <c r="R7" s="56"/>
      <c r="S7" s="56"/>
      <c r="T7" s="56"/>
      <c r="U7" s="56"/>
      <c r="V7" s="56"/>
      <c r="W7" s="53"/>
      <c r="X7" s="53"/>
      <c r="Y7" s="53"/>
      <c r="Z7" s="51"/>
      <c r="AA7" s="51"/>
      <c r="AB7" s="51"/>
      <c r="AC7" s="51"/>
    </row>
    <row r="8" ht="9.75" customHeight="1">
      <c r="A8" s="85" t="s">
        <v>209</v>
      </c>
      <c r="B8" s="85" t="s">
        <v>210</v>
      </c>
      <c r="C8" s="214">
        <v>4.6</v>
      </c>
      <c r="D8" s="211"/>
      <c r="E8" s="211"/>
      <c r="F8" s="211"/>
      <c r="G8" s="112"/>
      <c r="H8" s="112"/>
      <c r="I8" s="109"/>
      <c r="J8" s="111"/>
      <c r="K8" s="111"/>
      <c r="L8" s="107">
        <v>16.0</v>
      </c>
      <c r="M8" s="107"/>
      <c r="N8" s="212"/>
      <c r="O8" s="56">
        <v>20.0</v>
      </c>
      <c r="P8" s="56">
        <v>18.0</v>
      </c>
      <c r="Q8" s="56"/>
      <c r="R8" s="56"/>
      <c r="S8" s="56"/>
      <c r="T8" s="56"/>
      <c r="U8" s="56"/>
      <c r="V8" s="56"/>
      <c r="W8" s="53"/>
      <c r="X8" s="53"/>
      <c r="Y8" s="53"/>
      <c r="Z8" s="51"/>
      <c r="AA8" s="51"/>
      <c r="AB8" s="51"/>
      <c r="AC8" s="51"/>
    </row>
    <row r="9" ht="9.75" customHeight="1">
      <c r="A9" s="51"/>
      <c r="B9" s="126"/>
      <c r="C9" s="213"/>
      <c r="D9" s="113"/>
      <c r="E9" s="113"/>
      <c r="F9" s="113"/>
      <c r="G9" s="112"/>
      <c r="H9" s="112"/>
      <c r="I9" s="111"/>
      <c r="J9" s="111"/>
      <c r="K9" s="111"/>
      <c r="L9" s="112">
        <v>15.0</v>
      </c>
      <c r="M9" s="112"/>
      <c r="N9" s="212"/>
      <c r="O9" s="56">
        <v>12.0</v>
      </c>
      <c r="P9" s="56">
        <v>15.0</v>
      </c>
      <c r="Q9" s="56"/>
      <c r="R9" s="56"/>
      <c r="S9" s="56"/>
      <c r="T9" s="56"/>
      <c r="U9" s="56"/>
      <c r="V9" s="56"/>
      <c r="W9" s="53"/>
      <c r="X9" s="53"/>
      <c r="Y9" s="53"/>
      <c r="Z9" s="51"/>
      <c r="AA9" s="51"/>
      <c r="AB9" s="51"/>
      <c r="AC9" s="51"/>
    </row>
    <row r="10" ht="9.75" customHeight="1">
      <c r="A10" s="53"/>
      <c r="B10" s="126"/>
      <c r="C10" s="214"/>
      <c r="D10" s="211"/>
      <c r="E10" s="211"/>
      <c r="F10" s="211"/>
      <c r="G10" s="112"/>
      <c r="H10" s="112"/>
      <c r="I10" s="109"/>
      <c r="J10" s="111"/>
      <c r="K10" s="111"/>
      <c r="L10" s="107">
        <v>15.0</v>
      </c>
      <c r="M10" s="107"/>
      <c r="N10" s="212"/>
      <c r="O10" s="56">
        <v>12.0</v>
      </c>
      <c r="P10" s="56">
        <v>15.0</v>
      </c>
      <c r="Q10" s="56"/>
      <c r="R10" s="56"/>
      <c r="S10" s="56"/>
      <c r="T10" s="56"/>
      <c r="U10" s="56"/>
      <c r="V10" s="56"/>
      <c r="W10" s="53"/>
      <c r="X10" s="53"/>
      <c r="Y10" s="53"/>
      <c r="Z10" s="51"/>
      <c r="AA10" s="51"/>
      <c r="AB10" s="51"/>
      <c r="AC10" s="51"/>
    </row>
    <row r="11" ht="9.75" customHeight="1">
      <c r="A11" s="53"/>
      <c r="B11" s="126"/>
      <c r="C11" s="214"/>
      <c r="D11" s="211"/>
      <c r="E11" s="211"/>
      <c r="F11" s="211"/>
      <c r="G11" s="112"/>
      <c r="H11" s="112"/>
      <c r="I11" s="109"/>
      <c r="J11" s="111"/>
      <c r="K11" s="111"/>
      <c r="L11" s="107">
        <v>15.0</v>
      </c>
      <c r="M11" s="107"/>
      <c r="N11" s="212"/>
      <c r="O11" s="56">
        <v>12.0</v>
      </c>
      <c r="P11" s="56">
        <v>15.0</v>
      </c>
      <c r="Q11" s="56"/>
      <c r="R11" s="56"/>
      <c r="S11" s="56"/>
      <c r="T11" s="56"/>
      <c r="U11" s="56"/>
      <c r="V11" s="56"/>
      <c r="W11" s="53"/>
      <c r="X11" s="53"/>
      <c r="Y11" s="53"/>
      <c r="Z11" s="51"/>
      <c r="AA11" s="51"/>
      <c r="AB11" s="51"/>
      <c r="AC11" s="51"/>
    </row>
    <row r="12" ht="9.75" customHeight="1">
      <c r="A12" s="51"/>
      <c r="B12" s="126"/>
      <c r="C12" s="213"/>
      <c r="D12" s="113"/>
      <c r="E12" s="113"/>
      <c r="F12" s="113"/>
      <c r="G12" s="112"/>
      <c r="H12" s="112"/>
      <c r="I12" s="111"/>
      <c r="J12" s="111"/>
      <c r="K12" s="111"/>
      <c r="L12" s="112"/>
      <c r="M12" s="112"/>
      <c r="N12" s="212"/>
      <c r="O12" s="56"/>
      <c r="P12" s="56"/>
      <c r="Q12" s="56"/>
      <c r="R12" s="56"/>
      <c r="S12" s="56"/>
      <c r="T12" s="56"/>
      <c r="U12" s="56"/>
      <c r="V12" s="56"/>
      <c r="W12" s="53"/>
      <c r="X12" s="53"/>
      <c r="Y12" s="53"/>
      <c r="Z12" s="51"/>
      <c r="AA12" s="51"/>
      <c r="AB12" s="51"/>
      <c r="AC12" s="51"/>
    </row>
    <row r="13" ht="9.75" customHeight="1">
      <c r="A13" s="53" t="s">
        <v>211</v>
      </c>
      <c r="B13" s="126" t="s">
        <v>66</v>
      </c>
      <c r="C13" s="214">
        <v>4.6</v>
      </c>
      <c r="D13" s="211">
        <v>20.0</v>
      </c>
      <c r="E13" s="211"/>
      <c r="F13" s="211"/>
      <c r="G13" s="112">
        <v>16.0</v>
      </c>
      <c r="H13" s="112"/>
      <c r="I13" s="109">
        <v>20.0</v>
      </c>
      <c r="J13" s="111"/>
      <c r="K13" s="111"/>
      <c r="L13" s="107">
        <v>22.0</v>
      </c>
      <c r="M13" s="107"/>
      <c r="N13" s="212"/>
      <c r="O13" s="56">
        <v>20.0</v>
      </c>
      <c r="P13" s="56">
        <v>18.0</v>
      </c>
      <c r="Q13" s="56"/>
      <c r="R13" s="56"/>
      <c r="S13" s="56"/>
      <c r="T13" s="56"/>
      <c r="U13" s="56"/>
      <c r="V13" s="56"/>
      <c r="W13" s="53"/>
      <c r="X13" s="53"/>
      <c r="Y13" s="53"/>
      <c r="Z13" s="51"/>
      <c r="AA13" s="51"/>
      <c r="AB13" s="51"/>
      <c r="AC13" s="51"/>
    </row>
    <row r="14" ht="9.75" customHeight="1">
      <c r="A14" s="51"/>
      <c r="B14" s="126"/>
      <c r="C14" s="213"/>
      <c r="D14" s="113">
        <v>12.0</v>
      </c>
      <c r="E14" s="113"/>
      <c r="F14" s="113"/>
      <c r="G14" s="112">
        <v>15.0</v>
      </c>
      <c r="H14" s="112"/>
      <c r="I14" s="111">
        <v>15.0</v>
      </c>
      <c r="J14" s="111"/>
      <c r="K14" s="111"/>
      <c r="L14" s="112">
        <v>15.0</v>
      </c>
      <c r="M14" s="112"/>
      <c r="N14" s="212"/>
      <c r="O14" s="56">
        <v>12.0</v>
      </c>
      <c r="P14" s="56">
        <v>15.0</v>
      </c>
      <c r="Q14" s="56"/>
      <c r="R14" s="56"/>
      <c r="S14" s="56"/>
      <c r="T14" s="56"/>
      <c r="U14" s="56"/>
      <c r="V14" s="56"/>
      <c r="W14" s="53"/>
      <c r="X14" s="53"/>
      <c r="Y14" s="53"/>
      <c r="Z14" s="51"/>
      <c r="AA14" s="51"/>
      <c r="AB14" s="51"/>
      <c r="AC14" s="51"/>
    </row>
    <row r="15" ht="9.75" customHeight="1">
      <c r="A15" s="53"/>
      <c r="B15" s="126"/>
      <c r="C15" s="214"/>
      <c r="D15" s="211">
        <v>12.0</v>
      </c>
      <c r="E15" s="211"/>
      <c r="F15" s="211"/>
      <c r="G15" s="112">
        <v>15.0</v>
      </c>
      <c r="H15" s="112"/>
      <c r="I15" s="109">
        <v>15.0</v>
      </c>
      <c r="J15" s="111"/>
      <c r="K15" s="111"/>
      <c r="L15" s="107">
        <v>15.0</v>
      </c>
      <c r="M15" s="107"/>
      <c r="N15" s="212"/>
      <c r="O15" s="56">
        <v>12.0</v>
      </c>
      <c r="P15" s="56">
        <v>15.0</v>
      </c>
      <c r="Q15" s="56"/>
      <c r="R15" s="56"/>
      <c r="S15" s="56"/>
      <c r="T15" s="56"/>
      <c r="U15" s="56"/>
      <c r="V15" s="56"/>
      <c r="W15" s="53"/>
      <c r="X15" s="53"/>
      <c r="Y15" s="53"/>
      <c r="Z15" s="51"/>
      <c r="AA15" s="51"/>
      <c r="AB15" s="51"/>
      <c r="AC15" s="51"/>
    </row>
    <row r="16" ht="9.75" customHeight="1">
      <c r="A16" s="53"/>
      <c r="B16" s="126"/>
      <c r="C16" s="214"/>
      <c r="D16" s="211">
        <v>12.0</v>
      </c>
      <c r="E16" s="211"/>
      <c r="F16" s="211"/>
      <c r="G16" s="112">
        <v>15.0</v>
      </c>
      <c r="H16" s="112"/>
      <c r="I16" s="109">
        <v>15.0</v>
      </c>
      <c r="J16" s="111"/>
      <c r="K16" s="111"/>
      <c r="L16" s="107">
        <v>15.0</v>
      </c>
      <c r="M16" s="112"/>
      <c r="N16" s="212"/>
      <c r="O16" s="56">
        <v>12.0</v>
      </c>
      <c r="P16" s="56">
        <v>15.0</v>
      </c>
      <c r="Q16" s="56"/>
      <c r="R16" s="56"/>
      <c r="S16" s="56"/>
      <c r="T16" s="56"/>
      <c r="U16" s="56"/>
      <c r="V16" s="56"/>
      <c r="W16" s="53"/>
      <c r="X16" s="53"/>
      <c r="Y16" s="53"/>
      <c r="Z16" s="51"/>
      <c r="AA16" s="51"/>
      <c r="AB16" s="51"/>
      <c r="AC16" s="51"/>
    </row>
    <row r="17" ht="9.75" customHeight="1">
      <c r="A17" s="51"/>
      <c r="B17" s="126"/>
      <c r="C17" s="213"/>
      <c r="D17" s="113"/>
      <c r="E17" s="113"/>
      <c r="F17" s="113"/>
      <c r="G17" s="112"/>
      <c r="H17" s="112"/>
      <c r="I17" s="111"/>
      <c r="J17" s="111"/>
      <c r="K17" s="111"/>
      <c r="L17" s="112"/>
      <c r="M17" s="112"/>
      <c r="N17" s="212"/>
      <c r="O17" s="56"/>
      <c r="P17" s="56"/>
      <c r="Q17" s="56"/>
      <c r="R17" s="56"/>
      <c r="S17" s="56"/>
      <c r="T17" s="56"/>
      <c r="U17" s="56"/>
      <c r="V17" s="56"/>
      <c r="W17" s="53"/>
      <c r="X17" s="53"/>
      <c r="Y17" s="53"/>
      <c r="Z17" s="51"/>
      <c r="AA17" s="51"/>
      <c r="AB17" s="51"/>
      <c r="AC17" s="51"/>
    </row>
    <row r="18" ht="9.75" customHeight="1">
      <c r="A18" s="53" t="s">
        <v>212</v>
      </c>
      <c r="B18" s="126" t="s">
        <v>156</v>
      </c>
      <c r="C18" s="214"/>
      <c r="D18" s="211">
        <v>11.0</v>
      </c>
      <c r="E18" s="211">
        <v>10.0</v>
      </c>
      <c r="F18" s="211"/>
      <c r="G18" s="112">
        <v>10.0</v>
      </c>
      <c r="H18" s="112"/>
      <c r="I18" s="109">
        <v>10.0</v>
      </c>
      <c r="J18" s="111"/>
      <c r="K18" s="111"/>
      <c r="L18" s="107">
        <v>10.0</v>
      </c>
      <c r="M18" s="107"/>
      <c r="N18" s="212"/>
      <c r="O18" s="56">
        <v>13.0</v>
      </c>
      <c r="P18" s="56"/>
      <c r="Q18" s="56"/>
      <c r="R18" s="56"/>
      <c r="S18" s="56"/>
      <c r="T18" s="56"/>
      <c r="U18" s="56"/>
      <c r="V18" s="56"/>
      <c r="W18" s="53"/>
      <c r="X18" s="53"/>
      <c r="Y18" s="53"/>
      <c r="Z18" s="51"/>
      <c r="AA18" s="51"/>
      <c r="AB18" s="51"/>
      <c r="AC18" s="51"/>
    </row>
    <row r="19" ht="9.75" customHeight="1">
      <c r="A19" s="51"/>
      <c r="B19" s="126"/>
      <c r="C19" s="213"/>
      <c r="D19" s="113">
        <v>12.0</v>
      </c>
      <c r="E19" s="113">
        <v>15.0</v>
      </c>
      <c r="F19" s="113"/>
      <c r="G19" s="112">
        <v>15.0</v>
      </c>
      <c r="H19" s="112"/>
      <c r="I19" s="111">
        <v>15.0</v>
      </c>
      <c r="J19" s="111"/>
      <c r="K19" s="111"/>
      <c r="L19" s="112">
        <v>15.0</v>
      </c>
      <c r="M19" s="112"/>
      <c r="N19" s="212"/>
      <c r="O19" s="56">
        <v>15.0</v>
      </c>
      <c r="P19" s="56"/>
      <c r="Q19" s="56"/>
      <c r="R19" s="56"/>
      <c r="S19" s="56"/>
      <c r="T19" s="56"/>
      <c r="U19" s="56"/>
      <c r="V19" s="56"/>
      <c r="W19" s="53"/>
      <c r="X19" s="53"/>
      <c r="Y19" s="53"/>
      <c r="Z19" s="51"/>
      <c r="AA19" s="51"/>
      <c r="AB19" s="51"/>
      <c r="AC19" s="51"/>
    </row>
    <row r="20" ht="9.75" customHeight="1">
      <c r="A20" s="51"/>
      <c r="B20" s="126"/>
      <c r="C20" s="214"/>
      <c r="D20" s="211">
        <v>12.0</v>
      </c>
      <c r="E20" s="211">
        <v>15.0</v>
      </c>
      <c r="F20" s="211"/>
      <c r="G20" s="112">
        <v>15.0</v>
      </c>
      <c r="H20" s="112"/>
      <c r="I20" s="109">
        <v>15.0</v>
      </c>
      <c r="J20" s="111"/>
      <c r="K20" s="111"/>
      <c r="L20" s="107">
        <v>15.0</v>
      </c>
      <c r="M20" s="107"/>
      <c r="N20" s="212"/>
      <c r="O20" s="56">
        <v>15.0</v>
      </c>
      <c r="P20" s="56"/>
      <c r="Q20" s="56"/>
      <c r="R20" s="56"/>
      <c r="S20" s="56"/>
      <c r="T20" s="56"/>
      <c r="U20" s="56"/>
      <c r="V20" s="56"/>
      <c r="W20" s="53"/>
      <c r="X20" s="53"/>
      <c r="Y20" s="53"/>
      <c r="Z20" s="51"/>
      <c r="AA20" s="51"/>
      <c r="AB20" s="51"/>
      <c r="AC20" s="51"/>
    </row>
    <row r="21" ht="9.75" customHeight="1">
      <c r="A21" s="51"/>
      <c r="B21" s="126"/>
      <c r="C21" s="213"/>
      <c r="D21" s="113">
        <v>12.0</v>
      </c>
      <c r="E21" s="113">
        <v>15.0</v>
      </c>
      <c r="F21" s="113"/>
      <c r="G21" s="112">
        <v>15.0</v>
      </c>
      <c r="H21" s="112"/>
      <c r="I21" s="111">
        <v>15.0</v>
      </c>
      <c r="J21" s="111"/>
      <c r="K21" s="111"/>
      <c r="L21" s="112">
        <v>15.0</v>
      </c>
      <c r="M21" s="112"/>
      <c r="N21" s="212"/>
      <c r="O21" s="56">
        <v>15.0</v>
      </c>
      <c r="P21" s="56"/>
      <c r="Q21" s="56"/>
      <c r="R21" s="56"/>
      <c r="S21" s="56"/>
      <c r="T21" s="56"/>
      <c r="U21" s="56"/>
      <c r="V21" s="56"/>
      <c r="W21" s="53"/>
      <c r="X21" s="53"/>
      <c r="Y21" s="53"/>
      <c r="Z21" s="51"/>
      <c r="AA21" s="51"/>
      <c r="AB21" s="51"/>
      <c r="AC21" s="51"/>
    </row>
    <row r="22" ht="9.75" customHeight="1">
      <c r="A22" s="51"/>
      <c r="B22" s="126"/>
      <c r="C22" s="213"/>
      <c r="D22" s="113"/>
      <c r="E22" s="113"/>
      <c r="F22" s="113"/>
      <c r="G22" s="112"/>
      <c r="H22" s="112"/>
      <c r="I22" s="111"/>
      <c r="J22" s="111"/>
      <c r="K22" s="111"/>
      <c r="L22" s="112"/>
      <c r="M22" s="112"/>
      <c r="N22" s="212"/>
      <c r="O22" s="56"/>
      <c r="P22" s="56"/>
      <c r="Q22" s="56"/>
      <c r="R22" s="56"/>
      <c r="S22" s="56"/>
      <c r="T22" s="56"/>
      <c r="U22" s="56"/>
      <c r="V22" s="56"/>
      <c r="W22" s="53"/>
      <c r="X22" s="53"/>
      <c r="Y22" s="53"/>
      <c r="Z22" s="51"/>
      <c r="AA22" s="51"/>
      <c r="AB22" s="51"/>
      <c r="AC22" s="51"/>
    </row>
    <row r="23" ht="9.75" customHeight="1">
      <c r="A23" s="53" t="s">
        <v>56</v>
      </c>
      <c r="B23" s="126" t="s">
        <v>56</v>
      </c>
      <c r="C23" s="214">
        <v>8.0</v>
      </c>
      <c r="D23" s="113">
        <v>30.0</v>
      </c>
      <c r="E23" s="113">
        <v>26.0</v>
      </c>
      <c r="F23" s="113"/>
      <c r="G23" s="112">
        <v>22.0</v>
      </c>
      <c r="H23" s="112"/>
      <c r="I23" s="111">
        <v>26.0</v>
      </c>
      <c r="J23" s="111"/>
      <c r="K23" s="111"/>
      <c r="L23" s="112">
        <v>38.0</v>
      </c>
      <c r="M23" s="112"/>
      <c r="N23" s="212"/>
      <c r="O23" s="75"/>
      <c r="P23" s="75"/>
      <c r="Q23" s="75"/>
      <c r="R23" s="56"/>
      <c r="S23" s="56"/>
      <c r="T23" s="56"/>
      <c r="U23" s="56"/>
      <c r="V23" s="56"/>
      <c r="W23" s="53"/>
      <c r="X23" s="53"/>
      <c r="Y23" s="53"/>
      <c r="Z23" s="51"/>
      <c r="AA23" s="51"/>
      <c r="AB23" s="51"/>
      <c r="AC23" s="51"/>
    </row>
    <row r="24" ht="9.75" customHeight="1">
      <c r="A24" s="51"/>
      <c r="B24" s="126"/>
      <c r="C24" s="213"/>
      <c r="D24" s="113">
        <v>6.0</v>
      </c>
      <c r="E24" s="113">
        <v>12.0</v>
      </c>
      <c r="F24" s="113"/>
      <c r="G24" s="112">
        <v>12.0</v>
      </c>
      <c r="H24" s="112"/>
      <c r="I24" s="111">
        <v>10.0</v>
      </c>
      <c r="J24" s="111"/>
      <c r="K24" s="111"/>
      <c r="L24" s="112">
        <v>6.0</v>
      </c>
      <c r="M24" s="112"/>
      <c r="N24" s="212"/>
      <c r="O24" s="75"/>
      <c r="P24" s="75"/>
      <c r="Q24" s="75"/>
      <c r="R24" s="56"/>
      <c r="S24" s="56"/>
      <c r="T24" s="56"/>
      <c r="U24" s="56"/>
      <c r="V24" s="56"/>
      <c r="W24" s="53"/>
      <c r="X24" s="53"/>
      <c r="Y24" s="53"/>
      <c r="Z24" s="51"/>
      <c r="AA24" s="51"/>
      <c r="AB24" s="51"/>
      <c r="AC24" s="51"/>
    </row>
    <row r="25" ht="9.75" customHeight="1">
      <c r="A25" s="51"/>
      <c r="B25" s="126"/>
      <c r="C25" s="213"/>
      <c r="D25" s="113">
        <v>6.0</v>
      </c>
      <c r="E25" s="113">
        <v>12.0</v>
      </c>
      <c r="F25" s="113"/>
      <c r="G25" s="112">
        <v>12.0</v>
      </c>
      <c r="H25" s="112"/>
      <c r="I25" s="111">
        <v>10.0</v>
      </c>
      <c r="J25" s="111"/>
      <c r="K25" s="111"/>
      <c r="L25" s="112">
        <v>6.0</v>
      </c>
      <c r="M25" s="112"/>
      <c r="N25" s="212"/>
      <c r="O25" s="75"/>
      <c r="P25" s="75"/>
      <c r="Q25" s="75"/>
      <c r="R25" s="56"/>
      <c r="S25" s="56"/>
      <c r="T25" s="56"/>
      <c r="U25" s="56"/>
      <c r="V25" s="56"/>
      <c r="W25" s="53"/>
      <c r="X25" s="53"/>
      <c r="Y25" s="53"/>
      <c r="Z25" s="51"/>
      <c r="AA25" s="51"/>
      <c r="AB25" s="51"/>
      <c r="AC25" s="51"/>
    </row>
    <row r="26" ht="9.75" customHeight="1">
      <c r="A26" s="51"/>
      <c r="B26" s="126"/>
      <c r="C26" s="213"/>
      <c r="D26" s="113">
        <v>6.0</v>
      </c>
      <c r="E26" s="113">
        <v>12.0</v>
      </c>
      <c r="F26" s="113"/>
      <c r="G26" s="112">
        <v>12.0</v>
      </c>
      <c r="H26" s="112"/>
      <c r="I26" s="111">
        <v>10.0</v>
      </c>
      <c r="J26" s="111"/>
      <c r="K26" s="111"/>
      <c r="L26" s="112">
        <v>10.0</v>
      </c>
      <c r="M26" s="112"/>
      <c r="N26" s="212"/>
      <c r="O26" s="75"/>
      <c r="P26" s="75"/>
      <c r="Q26" s="75"/>
      <c r="R26" s="56"/>
      <c r="S26" s="56"/>
      <c r="T26" s="56"/>
      <c r="U26" s="56"/>
      <c r="V26" s="56"/>
      <c r="W26" s="53"/>
      <c r="X26" s="53"/>
      <c r="Y26" s="53"/>
      <c r="Z26" s="51"/>
      <c r="AA26" s="51"/>
      <c r="AB26" s="51"/>
      <c r="AC26" s="51"/>
    </row>
    <row r="27" ht="9.75" customHeight="1">
      <c r="A27" s="53"/>
      <c r="B27" s="126"/>
      <c r="C27" s="213"/>
      <c r="D27" s="113"/>
      <c r="E27" s="113"/>
      <c r="F27" s="113"/>
      <c r="G27" s="112"/>
      <c r="H27" s="112"/>
      <c r="I27" s="115"/>
      <c r="J27" s="111"/>
      <c r="K27" s="111"/>
      <c r="L27" s="110"/>
      <c r="M27" s="110"/>
      <c r="N27" s="212"/>
      <c r="O27" s="215"/>
      <c r="P27" s="215"/>
      <c r="Q27" s="215"/>
      <c r="R27" s="57"/>
      <c r="S27" s="57"/>
      <c r="T27" s="57"/>
      <c r="U27" s="57"/>
      <c r="V27" s="57"/>
      <c r="W27" s="53"/>
      <c r="X27" s="53"/>
      <c r="Y27" s="53"/>
      <c r="Z27" s="51"/>
      <c r="AA27" s="51"/>
      <c r="AB27" s="51"/>
      <c r="AC27" s="51"/>
    </row>
    <row r="28" ht="9.75" customHeight="1">
      <c r="A28" s="53" t="s">
        <v>213</v>
      </c>
      <c r="B28" s="126" t="s">
        <v>214</v>
      </c>
      <c r="C28" s="214">
        <v>8.0</v>
      </c>
      <c r="D28" s="113">
        <v>30.0</v>
      </c>
      <c r="E28" s="113">
        <v>24.0</v>
      </c>
      <c r="F28" s="113"/>
      <c r="G28" s="112">
        <v>22.0</v>
      </c>
      <c r="H28" s="112"/>
      <c r="I28" s="111">
        <v>32.0</v>
      </c>
      <c r="J28" s="111">
        <v>30.0</v>
      </c>
      <c r="K28" s="111">
        <v>26.0</v>
      </c>
      <c r="L28" s="112">
        <v>34.0</v>
      </c>
      <c r="M28" s="110"/>
      <c r="N28" s="212"/>
      <c r="O28" s="215"/>
      <c r="P28" s="215"/>
      <c r="Q28" s="215"/>
      <c r="R28" s="57"/>
      <c r="S28" s="57"/>
      <c r="T28" s="57"/>
      <c r="U28" s="57"/>
      <c r="V28" s="57"/>
      <c r="W28" s="53"/>
      <c r="X28" s="53"/>
      <c r="Y28" s="53"/>
      <c r="Z28" s="51"/>
      <c r="AA28" s="51"/>
      <c r="AB28" s="51"/>
      <c r="AC28" s="51"/>
    </row>
    <row r="29" ht="9.75" customHeight="1">
      <c r="A29" s="53"/>
      <c r="B29" s="126"/>
      <c r="C29" s="213"/>
      <c r="D29" s="113">
        <v>6.0</v>
      </c>
      <c r="E29" s="113">
        <v>10.0</v>
      </c>
      <c r="F29" s="113"/>
      <c r="G29" s="112">
        <v>12.0</v>
      </c>
      <c r="H29" s="112"/>
      <c r="I29" s="111">
        <v>8.0</v>
      </c>
      <c r="J29" s="111">
        <v>10.0</v>
      </c>
      <c r="K29" s="111">
        <v>12.0</v>
      </c>
      <c r="L29" s="112">
        <v>10.0</v>
      </c>
      <c r="M29" s="110"/>
      <c r="N29" s="212"/>
      <c r="O29" s="215"/>
      <c r="P29" s="215"/>
      <c r="Q29" s="215"/>
      <c r="R29" s="57"/>
      <c r="S29" s="57"/>
      <c r="T29" s="57"/>
      <c r="U29" s="57"/>
      <c r="V29" s="57"/>
      <c r="W29" s="53"/>
      <c r="X29" s="53"/>
      <c r="Y29" s="53"/>
      <c r="Z29" s="51"/>
      <c r="AA29" s="51"/>
      <c r="AB29" s="51"/>
      <c r="AC29" s="51"/>
    </row>
    <row r="30" ht="9.75" customHeight="1">
      <c r="A30" s="53"/>
      <c r="B30" s="126"/>
      <c r="C30" s="213"/>
      <c r="D30" s="113">
        <v>6.0</v>
      </c>
      <c r="E30" s="113">
        <v>10.0</v>
      </c>
      <c r="F30" s="113"/>
      <c r="G30" s="112">
        <v>12.0</v>
      </c>
      <c r="H30" s="112"/>
      <c r="I30" s="111">
        <v>8.0</v>
      </c>
      <c r="J30" s="111">
        <v>10.0</v>
      </c>
      <c r="K30" s="111">
        <v>12.0</v>
      </c>
      <c r="L30" s="112">
        <v>10.0</v>
      </c>
      <c r="M30" s="110"/>
      <c r="N30" s="212"/>
      <c r="O30" s="215"/>
      <c r="P30" s="215"/>
      <c r="Q30" s="215"/>
      <c r="R30" s="57"/>
      <c r="S30" s="57"/>
      <c r="T30" s="57"/>
      <c r="U30" s="57"/>
      <c r="V30" s="57"/>
      <c r="W30" s="53"/>
      <c r="X30" s="53"/>
      <c r="Y30" s="51"/>
      <c r="Z30" s="51"/>
      <c r="AA30" s="51"/>
      <c r="AB30" s="51"/>
      <c r="AC30" s="51"/>
    </row>
    <row r="31" ht="9.75" customHeight="1">
      <c r="A31" s="53"/>
      <c r="B31" s="126"/>
      <c r="C31" s="213"/>
      <c r="D31" s="113">
        <v>6.0</v>
      </c>
      <c r="E31" s="113">
        <v>10.0</v>
      </c>
      <c r="F31" s="113"/>
      <c r="G31" s="112">
        <v>12.0</v>
      </c>
      <c r="H31" s="112"/>
      <c r="I31" s="111">
        <v>8.0</v>
      </c>
      <c r="J31" s="111">
        <v>10.0</v>
      </c>
      <c r="K31" s="111">
        <v>12.0</v>
      </c>
      <c r="L31" s="112">
        <v>10.0</v>
      </c>
      <c r="M31" s="110"/>
      <c r="N31" s="212"/>
      <c r="O31" s="215"/>
      <c r="P31" s="215"/>
      <c r="Q31" s="215"/>
      <c r="R31" s="57"/>
      <c r="S31" s="57"/>
      <c r="T31" s="57"/>
      <c r="U31" s="57"/>
      <c r="V31" s="57"/>
      <c r="W31" s="53"/>
      <c r="X31" s="53"/>
      <c r="Y31" s="51"/>
      <c r="Z31" s="51"/>
      <c r="AA31" s="51"/>
      <c r="AB31" s="51"/>
      <c r="AC31" s="51"/>
    </row>
    <row r="32" ht="9.75" customHeight="1">
      <c r="A32" s="51"/>
      <c r="B32" s="126"/>
      <c r="C32" s="213"/>
      <c r="D32" s="113"/>
      <c r="E32" s="113"/>
      <c r="F32" s="113"/>
      <c r="G32" s="112"/>
      <c r="H32" s="112"/>
      <c r="I32" s="115"/>
      <c r="J32" s="111"/>
      <c r="K32" s="111"/>
      <c r="L32" s="110"/>
      <c r="M32" s="110"/>
      <c r="N32" s="212"/>
      <c r="O32" s="215"/>
      <c r="P32" s="215"/>
      <c r="Q32" s="215"/>
      <c r="R32" s="57"/>
      <c r="S32" s="57"/>
      <c r="T32" s="57"/>
      <c r="U32" s="57"/>
      <c r="V32" s="57"/>
      <c r="W32" s="53"/>
      <c r="X32" s="53"/>
      <c r="Y32" s="51"/>
      <c r="Z32" s="51"/>
      <c r="AA32" s="51"/>
      <c r="AB32" s="51"/>
      <c r="AC32" s="51"/>
    </row>
    <row r="33" ht="9.75" customHeight="1">
      <c r="A33" s="53" t="s">
        <v>215</v>
      </c>
      <c r="B33" s="126" t="s">
        <v>216</v>
      </c>
      <c r="C33" s="214">
        <v>8.0</v>
      </c>
      <c r="D33" s="113"/>
      <c r="E33" s="113"/>
      <c r="F33" s="113"/>
      <c r="G33" s="112"/>
      <c r="H33" s="112"/>
      <c r="I33" s="111">
        <v>32.0</v>
      </c>
      <c r="J33" s="111">
        <v>30.0</v>
      </c>
      <c r="K33" s="111">
        <v>26.0</v>
      </c>
      <c r="L33" s="112">
        <v>34.0</v>
      </c>
      <c r="M33" s="110"/>
      <c r="N33" s="212"/>
      <c r="O33" s="215"/>
      <c r="P33" s="215"/>
      <c r="Q33" s="215"/>
      <c r="R33" s="57"/>
      <c r="S33" s="57"/>
      <c r="T33" s="57"/>
      <c r="U33" s="57"/>
      <c r="V33" s="57"/>
      <c r="W33" s="53"/>
      <c r="X33" s="53"/>
      <c r="Y33" s="53"/>
      <c r="Z33" s="53"/>
      <c r="AA33" s="51"/>
      <c r="AB33" s="51"/>
      <c r="AC33" s="51"/>
    </row>
    <row r="34" ht="9.75" customHeight="1">
      <c r="A34" s="53"/>
      <c r="B34" s="126"/>
      <c r="C34" s="213"/>
      <c r="D34" s="113"/>
      <c r="E34" s="113"/>
      <c r="F34" s="113"/>
      <c r="G34" s="112"/>
      <c r="H34" s="112"/>
      <c r="I34" s="111">
        <v>8.0</v>
      </c>
      <c r="J34" s="111">
        <v>10.0</v>
      </c>
      <c r="K34" s="111">
        <v>12.0</v>
      </c>
      <c r="L34" s="112">
        <v>10.0</v>
      </c>
      <c r="M34" s="110"/>
      <c r="N34" s="212"/>
      <c r="O34" s="215"/>
      <c r="P34" s="215"/>
      <c r="Q34" s="215"/>
      <c r="R34" s="57"/>
      <c r="S34" s="57"/>
      <c r="T34" s="57"/>
      <c r="U34" s="57"/>
      <c r="V34" s="57"/>
      <c r="W34" s="53"/>
      <c r="X34" s="53"/>
      <c r="Y34" s="53"/>
      <c r="Z34" s="53"/>
      <c r="AA34" s="51"/>
      <c r="AB34" s="51"/>
      <c r="AC34" s="51"/>
    </row>
    <row r="35" ht="9.75" customHeight="1">
      <c r="A35" s="53"/>
      <c r="B35" s="126"/>
      <c r="C35" s="213"/>
      <c r="D35" s="113"/>
      <c r="E35" s="113"/>
      <c r="F35" s="113"/>
      <c r="G35" s="112"/>
      <c r="H35" s="112"/>
      <c r="I35" s="111">
        <v>8.0</v>
      </c>
      <c r="J35" s="111">
        <v>10.0</v>
      </c>
      <c r="K35" s="111">
        <v>12.0</v>
      </c>
      <c r="L35" s="112">
        <v>10.0</v>
      </c>
      <c r="M35" s="110"/>
      <c r="N35" s="212"/>
      <c r="O35" s="215"/>
      <c r="P35" s="215"/>
      <c r="Q35" s="215"/>
      <c r="R35" s="57"/>
      <c r="S35" s="57"/>
      <c r="T35" s="57"/>
      <c r="U35" s="57"/>
      <c r="V35" s="57"/>
      <c r="W35" s="53"/>
      <c r="X35" s="53"/>
      <c r="Y35" s="53"/>
      <c r="Z35" s="53"/>
      <c r="AA35" s="51"/>
      <c r="AB35" s="51"/>
      <c r="AC35" s="51"/>
    </row>
    <row r="36" ht="9.75" customHeight="1">
      <c r="A36" s="53"/>
      <c r="B36" s="126"/>
      <c r="C36" s="213"/>
      <c r="D36" s="113"/>
      <c r="E36" s="113"/>
      <c r="F36" s="113"/>
      <c r="G36" s="112"/>
      <c r="H36" s="112"/>
      <c r="I36" s="111">
        <v>8.0</v>
      </c>
      <c r="J36" s="111">
        <v>10.0</v>
      </c>
      <c r="K36" s="111">
        <v>12.0</v>
      </c>
      <c r="L36" s="112">
        <v>12.0</v>
      </c>
      <c r="M36" s="110"/>
      <c r="N36" s="212"/>
      <c r="O36" s="215"/>
      <c r="P36" s="215"/>
      <c r="Q36" s="215"/>
      <c r="R36" s="57"/>
      <c r="S36" s="57"/>
      <c r="T36" s="57"/>
      <c r="U36" s="57"/>
      <c r="V36" s="57"/>
      <c r="W36" s="53"/>
      <c r="X36" s="53"/>
      <c r="Y36" s="53"/>
      <c r="Z36" s="53"/>
      <c r="AA36" s="51"/>
      <c r="AB36" s="51"/>
      <c r="AC36" s="51"/>
    </row>
    <row r="37" ht="9.75" customHeight="1">
      <c r="A37" s="53"/>
      <c r="B37" s="126"/>
      <c r="C37" s="213"/>
      <c r="D37" s="113"/>
      <c r="E37" s="113"/>
      <c r="F37" s="113"/>
      <c r="G37" s="112"/>
      <c r="H37" s="112"/>
      <c r="I37" s="111"/>
      <c r="J37" s="111"/>
      <c r="K37" s="111"/>
      <c r="L37" s="110"/>
      <c r="M37" s="110"/>
      <c r="N37" s="212"/>
      <c r="O37" s="57"/>
      <c r="P37" s="57"/>
      <c r="Q37" s="57"/>
      <c r="R37" s="57"/>
      <c r="S37" s="57"/>
      <c r="T37" s="57"/>
      <c r="U37" s="57"/>
      <c r="V37" s="57"/>
      <c r="W37" s="53"/>
      <c r="X37" s="53"/>
      <c r="Y37" s="53"/>
      <c r="Z37" s="53"/>
      <c r="AA37" s="51"/>
      <c r="AB37" s="51"/>
      <c r="AC37" s="51"/>
    </row>
    <row r="38" ht="9.75" customHeight="1">
      <c r="A38" s="53" t="s">
        <v>57</v>
      </c>
      <c r="B38" s="126" t="s">
        <v>72</v>
      </c>
      <c r="C38" s="213"/>
      <c r="D38" s="113">
        <v>7.5</v>
      </c>
      <c r="E38" s="113">
        <v>5.0</v>
      </c>
      <c r="F38" s="113"/>
      <c r="G38" s="112">
        <v>7.5</v>
      </c>
      <c r="H38" s="112">
        <v>5.0</v>
      </c>
      <c r="I38" s="53">
        <v>7.5</v>
      </c>
      <c r="J38" s="51"/>
      <c r="K38" s="51"/>
      <c r="L38" s="112">
        <v>8.0</v>
      </c>
      <c r="M38" s="110"/>
      <c r="N38" s="212"/>
      <c r="O38" s="56">
        <v>9.0</v>
      </c>
      <c r="P38" s="57"/>
      <c r="Q38" s="57"/>
      <c r="R38" s="57"/>
      <c r="S38" s="57"/>
      <c r="T38" s="57"/>
      <c r="U38" s="57"/>
      <c r="V38" s="57"/>
      <c r="W38" s="53"/>
      <c r="X38" s="53"/>
      <c r="Y38" s="53"/>
      <c r="Z38" s="53">
        <v>12.0</v>
      </c>
      <c r="AA38" s="51"/>
      <c r="AB38" s="51"/>
      <c r="AC38" s="51"/>
    </row>
    <row r="39" ht="9.75" customHeight="1">
      <c r="A39" s="51"/>
      <c r="B39" s="127"/>
      <c r="C39" s="214"/>
      <c r="D39" s="113">
        <v>8.0</v>
      </c>
      <c r="E39" s="113">
        <v>12.0</v>
      </c>
      <c r="F39" s="113"/>
      <c r="G39" s="112">
        <v>8.0</v>
      </c>
      <c r="H39" s="112">
        <v>12.0</v>
      </c>
      <c r="I39" s="53">
        <v>12.0</v>
      </c>
      <c r="J39" s="51"/>
      <c r="K39" s="51"/>
      <c r="L39" s="112">
        <v>15.0</v>
      </c>
      <c r="M39" s="110"/>
      <c r="N39" s="212"/>
      <c r="O39" s="56">
        <v>15.0</v>
      </c>
      <c r="P39" s="57"/>
      <c r="Q39" s="57"/>
      <c r="R39" s="57"/>
      <c r="S39" s="57"/>
      <c r="T39" s="57"/>
      <c r="U39" s="57"/>
      <c r="V39" s="57"/>
      <c r="W39" s="51"/>
      <c r="X39" s="53"/>
      <c r="Y39" s="51"/>
      <c r="Z39" s="51"/>
      <c r="AA39" s="51"/>
      <c r="AB39" s="51"/>
      <c r="AC39" s="51"/>
    </row>
    <row r="40" ht="9.75" customHeight="1">
      <c r="A40" s="53"/>
      <c r="B40" s="126"/>
      <c r="C40" s="213"/>
      <c r="D40" s="113">
        <v>8.0</v>
      </c>
      <c r="E40" s="113">
        <v>12.0</v>
      </c>
      <c r="F40" s="113"/>
      <c r="G40" s="112">
        <v>8.0</v>
      </c>
      <c r="H40" s="112">
        <v>12.0</v>
      </c>
      <c r="I40" s="53">
        <v>12.0</v>
      </c>
      <c r="J40" s="51"/>
      <c r="K40" s="51"/>
      <c r="L40" s="112">
        <v>15.0</v>
      </c>
      <c r="M40" s="110"/>
      <c r="N40" s="212"/>
      <c r="O40" s="56">
        <v>15.0</v>
      </c>
      <c r="P40" s="57"/>
      <c r="Q40" s="57"/>
      <c r="R40" s="57"/>
      <c r="S40" s="57"/>
      <c r="T40" s="57"/>
      <c r="U40" s="57"/>
      <c r="V40" s="57"/>
      <c r="W40" s="51"/>
      <c r="X40" s="53"/>
      <c r="Y40" s="51"/>
      <c r="Z40" s="51"/>
      <c r="AA40" s="51"/>
      <c r="AB40" s="51"/>
      <c r="AC40" s="51"/>
    </row>
    <row r="41" ht="9.75" customHeight="1">
      <c r="A41" s="53"/>
      <c r="B41" s="126"/>
      <c r="C41" s="213"/>
      <c r="D41" s="113">
        <v>8.0</v>
      </c>
      <c r="E41" s="113">
        <v>12.0</v>
      </c>
      <c r="F41" s="113"/>
      <c r="G41" s="112">
        <v>8.0</v>
      </c>
      <c r="H41" s="112">
        <v>12.0</v>
      </c>
      <c r="I41" s="53">
        <v>12.0</v>
      </c>
      <c r="J41" s="51"/>
      <c r="K41" s="51"/>
      <c r="L41" s="112">
        <v>15.0</v>
      </c>
      <c r="M41" s="110"/>
      <c r="N41" s="212"/>
      <c r="O41" s="56">
        <v>15.0</v>
      </c>
      <c r="P41" s="57"/>
      <c r="Q41" s="57"/>
      <c r="R41" s="57"/>
      <c r="S41" s="57"/>
      <c r="T41" s="57"/>
      <c r="U41" s="57"/>
      <c r="V41" s="57"/>
      <c r="W41" s="53"/>
      <c r="X41" s="53"/>
      <c r="Y41" s="53"/>
      <c r="Z41" s="51"/>
      <c r="AA41" s="51"/>
      <c r="AB41" s="51"/>
      <c r="AC41" s="51"/>
    </row>
    <row r="42" ht="9.75" customHeight="1">
      <c r="A42" s="53"/>
      <c r="B42" s="126"/>
      <c r="C42" s="213"/>
      <c r="D42" s="113"/>
      <c r="E42" s="113"/>
      <c r="F42" s="113"/>
      <c r="G42" s="112"/>
      <c r="H42" s="110"/>
      <c r="I42" s="111"/>
      <c r="J42" s="115"/>
      <c r="K42" s="115"/>
      <c r="L42" s="112"/>
      <c r="M42" s="110"/>
      <c r="N42" s="212"/>
      <c r="O42" s="57"/>
      <c r="P42" s="57"/>
      <c r="Q42" s="57"/>
      <c r="R42" s="57"/>
      <c r="S42" s="57"/>
      <c r="T42" s="57"/>
      <c r="U42" s="57"/>
      <c r="V42" s="57"/>
      <c r="W42" s="53"/>
      <c r="X42" s="53"/>
      <c r="Y42" s="53"/>
      <c r="Z42" s="51"/>
      <c r="AA42" s="51"/>
      <c r="AB42" s="51"/>
      <c r="AC42" s="51"/>
    </row>
    <row r="43" ht="9.75" customHeight="1">
      <c r="A43" s="85" t="s">
        <v>217</v>
      </c>
      <c r="B43" s="85" t="s">
        <v>218</v>
      </c>
      <c r="C43" s="213"/>
      <c r="D43" s="113" t="s">
        <v>219</v>
      </c>
      <c r="E43" s="113"/>
      <c r="F43" s="113"/>
      <c r="G43" s="112" t="s">
        <v>219</v>
      </c>
      <c r="H43" s="112" t="s">
        <v>220</v>
      </c>
      <c r="I43" s="111" t="s">
        <v>219</v>
      </c>
      <c r="J43" s="111" t="s">
        <v>220</v>
      </c>
      <c r="K43" s="115"/>
      <c r="L43" s="112"/>
      <c r="M43" s="110"/>
      <c r="N43" s="212"/>
      <c r="O43" s="56"/>
      <c r="P43" s="56"/>
      <c r="Q43" s="56"/>
      <c r="R43" s="56"/>
      <c r="S43" s="56"/>
      <c r="T43" s="56"/>
      <c r="U43" s="56"/>
      <c r="V43" s="56"/>
      <c r="W43" s="53"/>
      <c r="X43" s="53"/>
      <c r="Y43" s="51"/>
      <c r="Z43" s="51"/>
      <c r="AA43" s="51"/>
      <c r="AB43" s="51"/>
      <c r="AC43" s="51"/>
    </row>
    <row r="44" ht="9.75" customHeight="1">
      <c r="A44" s="53"/>
      <c r="B44" s="126"/>
      <c r="C44" s="216"/>
      <c r="D44" s="113">
        <v>12.0</v>
      </c>
      <c r="E44" s="113"/>
      <c r="F44" s="113"/>
      <c r="G44" s="112">
        <v>10.0</v>
      </c>
      <c r="H44" s="118">
        <v>15.0</v>
      </c>
      <c r="I44" s="111">
        <v>15.0</v>
      </c>
      <c r="J44" s="109">
        <v>18.0</v>
      </c>
      <c r="K44" s="117"/>
      <c r="L44" s="112"/>
      <c r="M44" s="110"/>
      <c r="N44" s="212"/>
      <c r="O44" s="56"/>
      <c r="P44" s="56"/>
      <c r="Q44" s="56"/>
      <c r="R44" s="56"/>
      <c r="S44" s="56"/>
      <c r="T44" s="56"/>
      <c r="U44" s="56"/>
      <c r="V44" s="56"/>
      <c r="W44" s="53"/>
      <c r="X44" s="53"/>
      <c r="Y44" s="51"/>
      <c r="Z44" s="51"/>
      <c r="AA44" s="51"/>
      <c r="AB44" s="51"/>
      <c r="AC44" s="51"/>
    </row>
    <row r="45" ht="9.75" customHeight="1">
      <c r="A45" s="53"/>
      <c r="B45" s="126"/>
      <c r="C45" s="216"/>
      <c r="D45" s="113">
        <v>12.0</v>
      </c>
      <c r="E45" s="113"/>
      <c r="F45" s="113"/>
      <c r="G45" s="112">
        <v>10.0</v>
      </c>
      <c r="H45" s="118">
        <v>15.0</v>
      </c>
      <c r="I45" s="111">
        <v>15.0</v>
      </c>
      <c r="J45" s="109">
        <v>18.0</v>
      </c>
      <c r="K45" s="117"/>
      <c r="L45" s="112"/>
      <c r="M45" s="110"/>
      <c r="N45" s="212"/>
      <c r="O45" s="56"/>
      <c r="P45" s="56"/>
      <c r="Q45" s="56"/>
      <c r="R45" s="56"/>
      <c r="S45" s="56"/>
      <c r="T45" s="56"/>
      <c r="U45" s="56"/>
      <c r="V45" s="56"/>
      <c r="W45" s="53"/>
      <c r="X45" s="53"/>
      <c r="Y45" s="51"/>
      <c r="Z45" s="51"/>
      <c r="AA45" s="51"/>
      <c r="AB45" s="51"/>
      <c r="AC45" s="51"/>
    </row>
    <row r="46" ht="9.75" customHeight="1">
      <c r="A46" s="51"/>
      <c r="B46" s="127"/>
      <c r="C46" s="217"/>
      <c r="D46" s="113">
        <v>12.0</v>
      </c>
      <c r="E46" s="113"/>
      <c r="F46" s="113"/>
      <c r="G46" s="112">
        <v>12.0</v>
      </c>
      <c r="H46" s="118">
        <v>15.0</v>
      </c>
      <c r="I46" s="109">
        <v>15.0</v>
      </c>
      <c r="J46" s="109">
        <v>18.0</v>
      </c>
      <c r="K46" s="109"/>
      <c r="L46" s="116"/>
      <c r="M46" s="110"/>
      <c r="N46" s="212"/>
      <c r="O46" s="56"/>
      <c r="P46" s="56"/>
      <c r="Q46" s="56"/>
      <c r="R46" s="56"/>
      <c r="S46" s="56"/>
      <c r="T46" s="56"/>
      <c r="U46" s="56"/>
      <c r="V46" s="56"/>
      <c r="W46" s="53"/>
      <c r="X46" s="53"/>
      <c r="Y46" s="51"/>
      <c r="Z46" s="51"/>
      <c r="AA46" s="51"/>
      <c r="AB46" s="51"/>
      <c r="AC46" s="51"/>
    </row>
    <row r="47" ht="9.75" customHeight="1">
      <c r="A47" s="53"/>
      <c r="B47" s="126"/>
      <c r="C47" s="216"/>
      <c r="D47" s="218"/>
      <c r="E47" s="218"/>
      <c r="F47" s="218"/>
      <c r="G47" s="118"/>
      <c r="H47" s="118"/>
      <c r="I47" s="117"/>
      <c r="J47" s="109"/>
      <c r="K47" s="109"/>
      <c r="L47" s="116"/>
      <c r="M47" s="110"/>
      <c r="N47" s="212"/>
      <c r="O47" s="56"/>
      <c r="P47" s="56"/>
      <c r="Q47" s="56"/>
      <c r="R47" s="56"/>
      <c r="S47" s="56"/>
      <c r="T47" s="56"/>
      <c r="U47" s="56"/>
      <c r="V47" s="56"/>
      <c r="W47" s="53"/>
      <c r="X47" s="53"/>
      <c r="Y47" s="51"/>
      <c r="Z47" s="51"/>
      <c r="AA47" s="51"/>
      <c r="AB47" s="51"/>
      <c r="AC47" s="51"/>
    </row>
    <row r="48" ht="9.75" customHeight="1">
      <c r="A48" s="85" t="s">
        <v>221</v>
      </c>
      <c r="B48" s="85" t="s">
        <v>161</v>
      </c>
      <c r="C48" s="216"/>
      <c r="D48" s="218"/>
      <c r="E48" s="218"/>
      <c r="F48" s="218"/>
      <c r="G48" s="118"/>
      <c r="H48" s="118"/>
      <c r="I48" s="109">
        <v>5.0</v>
      </c>
      <c r="J48" s="109"/>
      <c r="K48" s="109"/>
      <c r="L48" s="118">
        <v>7.5</v>
      </c>
      <c r="M48" s="112">
        <v>5.0</v>
      </c>
      <c r="N48" s="212"/>
      <c r="O48" s="56">
        <v>7.5</v>
      </c>
      <c r="P48" s="56">
        <v>7.0</v>
      </c>
      <c r="Q48" s="56"/>
      <c r="R48" s="56"/>
      <c r="S48" s="56"/>
      <c r="T48" s="56"/>
      <c r="U48" s="56"/>
      <c r="V48" s="56"/>
      <c r="W48" s="53"/>
      <c r="X48" s="53"/>
      <c r="Y48" s="51"/>
      <c r="Z48" s="51"/>
      <c r="AA48" s="51"/>
      <c r="AB48" s="51"/>
      <c r="AC48" s="51"/>
    </row>
    <row r="49" ht="9.75" customHeight="1">
      <c r="A49" s="51"/>
      <c r="B49" s="127"/>
      <c r="C49" s="216"/>
      <c r="D49" s="218"/>
      <c r="E49" s="218"/>
      <c r="F49" s="218"/>
      <c r="G49" s="118"/>
      <c r="H49" s="118"/>
      <c r="I49" s="109">
        <v>12.0</v>
      </c>
      <c r="J49" s="109"/>
      <c r="K49" s="109"/>
      <c r="L49" s="118">
        <v>10.0</v>
      </c>
      <c r="M49" s="112">
        <v>15.0</v>
      </c>
      <c r="N49" s="212"/>
      <c r="O49" s="56">
        <v>10.0</v>
      </c>
      <c r="P49" s="56">
        <v>15.0</v>
      </c>
      <c r="Q49" s="56"/>
      <c r="R49" s="56"/>
      <c r="S49" s="56"/>
      <c r="T49" s="56"/>
      <c r="U49" s="56"/>
      <c r="V49" s="56"/>
      <c r="W49" s="53"/>
      <c r="X49" s="53"/>
      <c r="Y49" s="53"/>
      <c r="Z49" s="51"/>
      <c r="AA49" s="51"/>
      <c r="AB49" s="51"/>
      <c r="AC49" s="51"/>
    </row>
    <row r="50" ht="11.25" customHeight="1">
      <c r="A50" s="51"/>
      <c r="B50" s="127"/>
      <c r="C50" s="216"/>
      <c r="D50" s="218"/>
      <c r="E50" s="218"/>
      <c r="F50" s="218"/>
      <c r="G50" s="118"/>
      <c r="H50" s="118"/>
      <c r="I50" s="109">
        <v>12.0</v>
      </c>
      <c r="J50" s="109"/>
      <c r="K50" s="109"/>
      <c r="L50" s="118">
        <v>10.0</v>
      </c>
      <c r="M50" s="112">
        <v>15.0</v>
      </c>
      <c r="N50" s="212"/>
      <c r="O50" s="56">
        <v>10.0</v>
      </c>
      <c r="P50" s="56">
        <v>15.0</v>
      </c>
      <c r="Q50" s="56"/>
      <c r="R50" s="56"/>
      <c r="S50" s="56"/>
      <c r="T50" s="56"/>
      <c r="U50" s="56"/>
      <c r="V50" s="56"/>
      <c r="W50" s="53"/>
      <c r="X50" s="53"/>
      <c r="Y50" s="53"/>
      <c r="Z50" s="51"/>
      <c r="AA50" s="51"/>
      <c r="AB50" s="51"/>
      <c r="AC50" s="51"/>
    </row>
    <row r="51" ht="11.25" customHeight="1">
      <c r="A51" s="51"/>
      <c r="B51" s="127"/>
      <c r="C51" s="216"/>
      <c r="D51" s="218"/>
      <c r="E51" s="218"/>
      <c r="F51" s="218"/>
      <c r="G51" s="118"/>
      <c r="H51" s="118"/>
      <c r="I51" s="109">
        <v>15.0</v>
      </c>
      <c r="J51" s="109"/>
      <c r="K51" s="109"/>
      <c r="L51" s="118">
        <v>10.0</v>
      </c>
      <c r="M51" s="112">
        <v>15.0</v>
      </c>
      <c r="N51" s="212"/>
      <c r="O51" s="56">
        <v>10.0</v>
      </c>
      <c r="P51" s="56">
        <v>15.0</v>
      </c>
      <c r="Q51" s="56"/>
      <c r="R51" s="56"/>
      <c r="S51" s="56"/>
      <c r="T51" s="56"/>
      <c r="U51" s="56"/>
      <c r="V51" s="56"/>
      <c r="W51" s="53"/>
      <c r="X51" s="53"/>
      <c r="Y51" s="51"/>
      <c r="Z51" s="51"/>
      <c r="AA51" s="51"/>
      <c r="AB51" s="51"/>
      <c r="AC51" s="51"/>
    </row>
    <row r="52" ht="11.25" customHeight="1">
      <c r="A52" s="51"/>
      <c r="B52" s="127"/>
      <c r="C52" s="216"/>
      <c r="D52" s="218"/>
      <c r="E52" s="218"/>
      <c r="F52" s="218"/>
      <c r="G52" s="118"/>
      <c r="H52" s="118"/>
      <c r="I52" s="117"/>
      <c r="J52" s="109"/>
      <c r="K52" s="109"/>
      <c r="L52" s="116"/>
      <c r="M52" s="110"/>
      <c r="N52" s="212"/>
      <c r="O52" s="56"/>
      <c r="P52" s="56"/>
      <c r="Q52" s="56"/>
      <c r="R52" s="56"/>
      <c r="S52" s="56"/>
      <c r="T52" s="56"/>
      <c r="U52" s="56"/>
      <c r="V52" s="56"/>
      <c r="W52" s="53"/>
      <c r="X52" s="53"/>
      <c r="Y52" s="51"/>
      <c r="Z52" s="51"/>
      <c r="AA52" s="51"/>
      <c r="AB52" s="51"/>
      <c r="AC52" s="51"/>
    </row>
    <row r="53" ht="11.25" customHeight="1">
      <c r="A53" s="53" t="s">
        <v>58</v>
      </c>
      <c r="B53" s="126" t="s">
        <v>73</v>
      </c>
      <c r="C53" s="216"/>
      <c r="D53" s="218">
        <v>7.5</v>
      </c>
      <c r="E53" s="218">
        <v>5.0</v>
      </c>
      <c r="F53" s="218"/>
      <c r="G53" s="118">
        <v>7.5</v>
      </c>
      <c r="H53" s="118">
        <v>5.0</v>
      </c>
      <c r="I53" s="109">
        <v>7.5</v>
      </c>
      <c r="J53" s="109">
        <v>6.0</v>
      </c>
      <c r="K53" s="109"/>
      <c r="L53" s="118">
        <v>7.5</v>
      </c>
      <c r="M53" s="112">
        <v>6.5</v>
      </c>
      <c r="N53" s="212">
        <v>5.0</v>
      </c>
      <c r="O53" s="56">
        <v>7.5</v>
      </c>
      <c r="P53" s="56"/>
      <c r="Q53" s="56"/>
      <c r="R53" s="56"/>
      <c r="S53" s="56"/>
      <c r="T53" s="56"/>
      <c r="U53" s="56"/>
      <c r="V53" s="56"/>
      <c r="W53" s="53"/>
      <c r="X53" s="53"/>
      <c r="Y53" s="51"/>
      <c r="Z53" s="51"/>
      <c r="AA53" s="51"/>
      <c r="AB53" s="51"/>
      <c r="AC53" s="51"/>
    </row>
    <row r="54" ht="11.25" customHeight="1">
      <c r="A54" s="53"/>
      <c r="B54" s="126"/>
      <c r="C54" s="213"/>
      <c r="D54" s="218">
        <v>8.0</v>
      </c>
      <c r="E54" s="218">
        <v>12.0</v>
      </c>
      <c r="F54" s="218"/>
      <c r="G54" s="118">
        <v>6.0</v>
      </c>
      <c r="H54" s="118">
        <v>12.0</v>
      </c>
      <c r="I54" s="111">
        <v>8.0</v>
      </c>
      <c r="J54" s="109">
        <v>15.0</v>
      </c>
      <c r="K54" s="109"/>
      <c r="L54" s="112">
        <v>8.0</v>
      </c>
      <c r="M54" s="112">
        <v>10.0</v>
      </c>
      <c r="N54" s="212">
        <v>15.0</v>
      </c>
      <c r="O54" s="56">
        <v>12.0</v>
      </c>
      <c r="P54" s="56"/>
      <c r="Q54" s="56"/>
      <c r="R54" s="56"/>
      <c r="S54" s="56"/>
      <c r="T54" s="56"/>
      <c r="U54" s="56"/>
      <c r="V54" s="56"/>
      <c r="W54" s="53"/>
      <c r="X54" s="53"/>
      <c r="Y54" s="51"/>
      <c r="Z54" s="51"/>
      <c r="AA54" s="51"/>
      <c r="AB54" s="51"/>
      <c r="AC54" s="51"/>
    </row>
    <row r="55" ht="11.25" customHeight="1">
      <c r="A55" s="53"/>
      <c r="B55" s="126"/>
      <c r="C55" s="213"/>
      <c r="D55" s="218">
        <v>8.0</v>
      </c>
      <c r="E55" s="218">
        <v>12.0</v>
      </c>
      <c r="F55" s="218"/>
      <c r="G55" s="118">
        <v>6.0</v>
      </c>
      <c r="H55" s="118">
        <v>12.0</v>
      </c>
      <c r="I55" s="111">
        <v>8.0</v>
      </c>
      <c r="J55" s="109">
        <v>12.0</v>
      </c>
      <c r="K55" s="109"/>
      <c r="L55" s="112">
        <v>8.0</v>
      </c>
      <c r="M55" s="112">
        <v>10.0</v>
      </c>
      <c r="N55" s="212">
        <v>15.0</v>
      </c>
      <c r="O55" s="56">
        <v>12.0</v>
      </c>
      <c r="P55" s="56"/>
      <c r="Q55" s="56"/>
      <c r="R55" s="56"/>
      <c r="S55" s="56"/>
      <c r="T55" s="56"/>
      <c r="U55" s="56"/>
      <c r="V55" s="56"/>
      <c r="W55" s="53"/>
      <c r="X55" s="53"/>
      <c r="Y55" s="51"/>
      <c r="Z55" s="51"/>
      <c r="AA55" s="51"/>
      <c r="AB55" s="51"/>
      <c r="AC55" s="51"/>
    </row>
    <row r="56" ht="11.25" customHeight="1">
      <c r="A56" s="51"/>
      <c r="B56" s="126"/>
      <c r="C56" s="214"/>
      <c r="D56" s="218">
        <v>8.0</v>
      </c>
      <c r="E56" s="218">
        <v>12.0</v>
      </c>
      <c r="F56" s="218"/>
      <c r="G56" s="118">
        <v>6.0</v>
      </c>
      <c r="H56" s="112">
        <v>12.0</v>
      </c>
      <c r="I56" s="111">
        <v>7.0</v>
      </c>
      <c r="J56" s="111">
        <v>10.0</v>
      </c>
      <c r="K56" s="111"/>
      <c r="L56" s="112">
        <v>8.0</v>
      </c>
      <c r="M56" s="112">
        <v>10.0</v>
      </c>
      <c r="N56" s="212">
        <v>15.0</v>
      </c>
      <c r="O56" s="56">
        <v>12.0</v>
      </c>
      <c r="P56" s="56"/>
      <c r="Q56" s="56"/>
      <c r="R56" s="56"/>
      <c r="S56" s="56"/>
      <c r="T56" s="56"/>
      <c r="U56" s="56"/>
      <c r="V56" s="56"/>
      <c r="W56" s="51"/>
      <c r="X56" s="51"/>
      <c r="Y56" s="51"/>
      <c r="Z56" s="51"/>
      <c r="AA56" s="51"/>
      <c r="AB56" s="51"/>
      <c r="AC56" s="51"/>
    </row>
    <row r="57" ht="11.25" customHeight="1">
      <c r="A57" s="53"/>
      <c r="B57" s="126"/>
      <c r="C57" s="214"/>
      <c r="D57" s="113"/>
      <c r="E57" s="219"/>
      <c r="F57" s="113"/>
      <c r="G57" s="110"/>
      <c r="H57" s="110"/>
      <c r="I57" s="111"/>
      <c r="J57" s="115"/>
      <c r="K57" s="115"/>
      <c r="L57" s="110"/>
      <c r="M57" s="110"/>
      <c r="N57" s="212"/>
      <c r="O57" s="56"/>
      <c r="P57" s="56"/>
      <c r="Q57" s="56"/>
      <c r="R57" s="56"/>
      <c r="S57" s="56"/>
      <c r="T57" s="56"/>
      <c r="U57" s="56"/>
      <c r="V57" s="56"/>
      <c r="W57" s="51"/>
      <c r="X57" s="51"/>
      <c r="Y57" s="51"/>
      <c r="Z57" s="51"/>
      <c r="AA57" s="51"/>
      <c r="AB57" s="51"/>
      <c r="AC57" s="51"/>
    </row>
    <row r="58" ht="11.25" customHeight="1">
      <c r="A58" s="53" t="s">
        <v>113</v>
      </c>
      <c r="B58" s="126" t="s">
        <v>113</v>
      </c>
      <c r="C58" s="214">
        <v>6.2</v>
      </c>
      <c r="D58" s="113">
        <v>18.0</v>
      </c>
      <c r="E58" s="113">
        <v>16.0</v>
      </c>
      <c r="F58" s="113">
        <v>14.0</v>
      </c>
      <c r="G58" s="112">
        <v>14.0</v>
      </c>
      <c r="H58" s="110"/>
      <c r="I58" s="111">
        <v>20.0</v>
      </c>
      <c r="J58" s="111">
        <v>16.0</v>
      </c>
      <c r="K58" s="115"/>
      <c r="L58" s="112">
        <v>21.0</v>
      </c>
      <c r="M58" s="110"/>
      <c r="N58" s="212"/>
      <c r="O58" s="56">
        <v>23.0</v>
      </c>
      <c r="P58" s="56"/>
      <c r="Q58" s="56"/>
      <c r="R58" s="56"/>
      <c r="S58" s="56"/>
      <c r="T58" s="56"/>
      <c r="U58" s="56"/>
      <c r="V58" s="56"/>
      <c r="W58" s="51"/>
      <c r="X58" s="51"/>
      <c r="Y58" s="51"/>
      <c r="Z58" s="51"/>
      <c r="AA58" s="51"/>
      <c r="AB58" s="51"/>
      <c r="AC58" s="51"/>
    </row>
    <row r="59" ht="11.25" customHeight="1">
      <c r="A59" s="51"/>
      <c r="B59" s="126"/>
      <c r="C59" s="214"/>
      <c r="D59" s="113">
        <v>10.0</v>
      </c>
      <c r="E59" s="113">
        <v>12.0</v>
      </c>
      <c r="F59" s="113">
        <v>15.0</v>
      </c>
      <c r="G59" s="112">
        <v>12.0</v>
      </c>
      <c r="H59" s="110"/>
      <c r="I59" s="111">
        <v>8.0</v>
      </c>
      <c r="J59" s="111">
        <v>12.0</v>
      </c>
      <c r="K59" s="115"/>
      <c r="L59" s="112">
        <v>12.0</v>
      </c>
      <c r="M59" s="110"/>
      <c r="N59" s="212"/>
      <c r="O59" s="56">
        <v>12.0</v>
      </c>
      <c r="P59" s="56"/>
      <c r="Q59" s="56"/>
      <c r="R59" s="56"/>
      <c r="S59" s="56"/>
      <c r="T59" s="56"/>
      <c r="U59" s="56"/>
      <c r="V59" s="56"/>
      <c r="W59" s="51"/>
      <c r="X59" s="51"/>
      <c r="Y59" s="51"/>
      <c r="Z59" s="51"/>
      <c r="AA59" s="51"/>
      <c r="AB59" s="51"/>
      <c r="AC59" s="51"/>
    </row>
    <row r="60" ht="11.25" customHeight="1">
      <c r="A60" s="51"/>
      <c r="B60" s="126"/>
      <c r="C60" s="214"/>
      <c r="D60" s="113">
        <v>10.0</v>
      </c>
      <c r="E60" s="113">
        <v>12.0</v>
      </c>
      <c r="F60" s="113">
        <v>15.0</v>
      </c>
      <c r="G60" s="112">
        <v>12.0</v>
      </c>
      <c r="H60" s="112"/>
      <c r="I60" s="111">
        <v>8.0</v>
      </c>
      <c r="J60" s="111">
        <v>12.0</v>
      </c>
      <c r="K60" s="111"/>
      <c r="L60" s="112">
        <v>12.0</v>
      </c>
      <c r="M60" s="110"/>
      <c r="N60" s="212"/>
      <c r="O60" s="56">
        <v>12.0</v>
      </c>
      <c r="P60" s="56"/>
      <c r="Q60" s="56"/>
      <c r="R60" s="56"/>
      <c r="S60" s="56"/>
      <c r="T60" s="56"/>
      <c r="U60" s="56"/>
      <c r="V60" s="56"/>
      <c r="W60" s="122"/>
      <c r="X60" s="122"/>
      <c r="Y60" s="122"/>
      <c r="Z60" s="122"/>
      <c r="AA60" s="122"/>
      <c r="AB60" s="123"/>
      <c r="AC60" s="123"/>
    </row>
    <row r="61" ht="11.25" customHeight="1">
      <c r="A61" s="53"/>
      <c r="B61" s="126"/>
      <c r="C61" s="213"/>
      <c r="D61" s="113">
        <v>8.0</v>
      </c>
      <c r="E61" s="113">
        <v>12.0</v>
      </c>
      <c r="F61" s="113">
        <v>15.0</v>
      </c>
      <c r="G61" s="112">
        <v>12.0</v>
      </c>
      <c r="H61" s="112"/>
      <c r="I61" s="111">
        <v>8.0</v>
      </c>
      <c r="J61" s="111">
        <v>12.0</v>
      </c>
      <c r="K61" s="111"/>
      <c r="L61" s="112">
        <v>12.0</v>
      </c>
      <c r="M61" s="110"/>
      <c r="N61" s="220"/>
      <c r="O61" s="56">
        <v>12.0</v>
      </c>
      <c r="P61" s="57"/>
      <c r="Q61" s="57"/>
      <c r="R61" s="57"/>
      <c r="S61" s="57"/>
      <c r="T61" s="57"/>
      <c r="U61" s="57"/>
      <c r="V61" s="57"/>
      <c r="W61" s="122"/>
      <c r="X61" s="122"/>
      <c r="Y61" s="122"/>
      <c r="Z61" s="122"/>
      <c r="AA61" s="122"/>
      <c r="AB61" s="123"/>
      <c r="AC61" s="123"/>
    </row>
    <row r="62">
      <c r="A62" s="51"/>
      <c r="B62" s="126"/>
      <c r="C62" s="213"/>
      <c r="D62" s="113"/>
      <c r="E62" s="113"/>
      <c r="F62" s="113"/>
      <c r="G62" s="112"/>
      <c r="H62" s="112"/>
      <c r="I62" s="115"/>
      <c r="J62" s="111"/>
      <c r="K62" s="111"/>
      <c r="L62" s="110"/>
      <c r="M62" s="110"/>
      <c r="N62" s="220"/>
      <c r="O62" s="57"/>
      <c r="P62" s="57"/>
      <c r="Q62" s="57"/>
      <c r="R62" s="57"/>
      <c r="S62" s="57"/>
      <c r="T62" s="57"/>
      <c r="U62" s="57"/>
      <c r="V62" s="57"/>
      <c r="W62" s="127"/>
      <c r="X62" s="127"/>
      <c r="Y62" s="127"/>
      <c r="Z62" s="127"/>
      <c r="AA62" s="127"/>
      <c r="AB62" s="127"/>
      <c r="AC62" s="127"/>
    </row>
    <row r="63">
      <c r="A63" s="53" t="s">
        <v>59</v>
      </c>
      <c r="B63" s="126" t="s">
        <v>59</v>
      </c>
      <c r="C63" s="213"/>
      <c r="D63" s="113">
        <v>11.0</v>
      </c>
      <c r="E63" s="113">
        <v>10.0</v>
      </c>
      <c r="F63" s="113">
        <v>7.5</v>
      </c>
      <c r="G63" s="112">
        <v>7.5</v>
      </c>
      <c r="H63" s="112">
        <v>5.0</v>
      </c>
      <c r="I63" s="111">
        <v>10.0</v>
      </c>
      <c r="J63" s="111">
        <v>7.5</v>
      </c>
      <c r="K63" s="111"/>
      <c r="L63" s="112">
        <v>10.0</v>
      </c>
      <c r="M63" s="110"/>
      <c r="N63" s="220"/>
      <c r="O63" s="56">
        <v>13.0</v>
      </c>
      <c r="P63" s="57"/>
      <c r="Q63" s="57"/>
      <c r="R63" s="57"/>
      <c r="S63" s="57"/>
      <c r="T63" s="57"/>
      <c r="U63" s="57"/>
      <c r="V63" s="57"/>
      <c r="W63" s="51"/>
      <c r="X63" s="51"/>
      <c r="Y63" s="51"/>
      <c r="Z63" s="51"/>
      <c r="AA63" s="51"/>
      <c r="AB63" s="51"/>
      <c r="AC63" s="51"/>
    </row>
    <row r="64">
      <c r="A64" s="51"/>
      <c r="B64" s="126"/>
      <c r="C64" s="214"/>
      <c r="D64" s="113">
        <v>8.0</v>
      </c>
      <c r="E64" s="113">
        <v>12.0</v>
      </c>
      <c r="F64" s="113">
        <v>15.0</v>
      </c>
      <c r="G64" s="112">
        <v>8.0</v>
      </c>
      <c r="H64" s="112">
        <v>12.0</v>
      </c>
      <c r="I64" s="111">
        <v>6.0</v>
      </c>
      <c r="J64" s="111">
        <v>12.0</v>
      </c>
      <c r="K64" s="111"/>
      <c r="L64" s="112">
        <v>10.0</v>
      </c>
      <c r="M64" s="110"/>
      <c r="N64" s="220"/>
      <c r="O64" s="56">
        <v>12.0</v>
      </c>
      <c r="P64" s="57"/>
      <c r="Q64" s="57"/>
      <c r="R64" s="57"/>
      <c r="S64" s="57"/>
      <c r="T64" s="57"/>
      <c r="U64" s="57"/>
      <c r="V64" s="57"/>
      <c r="W64" s="51"/>
      <c r="X64" s="51"/>
      <c r="Y64" s="51"/>
      <c r="Z64" s="51"/>
      <c r="AA64" s="51"/>
      <c r="AB64" s="51"/>
      <c r="AC64" s="51"/>
    </row>
    <row r="65">
      <c r="A65" s="120"/>
      <c r="B65" s="126"/>
      <c r="C65" s="214"/>
      <c r="D65" s="113">
        <v>8.0</v>
      </c>
      <c r="E65" s="113">
        <v>12.0</v>
      </c>
      <c r="F65" s="113">
        <v>15.0</v>
      </c>
      <c r="G65" s="212">
        <v>8.0</v>
      </c>
      <c r="H65" s="212">
        <v>12.0</v>
      </c>
      <c r="I65" s="111">
        <v>6.0</v>
      </c>
      <c r="J65" s="111">
        <v>12.0</v>
      </c>
      <c r="K65" s="115"/>
      <c r="L65" s="112">
        <v>10.0</v>
      </c>
      <c r="M65" s="110"/>
      <c r="N65" s="221"/>
      <c r="O65" s="222">
        <v>12.0</v>
      </c>
      <c r="P65" s="223"/>
      <c r="Q65" s="223"/>
      <c r="R65" s="223"/>
      <c r="S65" s="223"/>
      <c r="T65" s="223"/>
      <c r="U65" s="223"/>
      <c r="V65" s="223"/>
      <c r="W65" s="51"/>
      <c r="X65" s="51"/>
      <c r="Y65" s="51"/>
      <c r="Z65" s="51"/>
      <c r="AA65" s="51"/>
      <c r="AB65" s="51"/>
      <c r="AC65" s="51"/>
    </row>
    <row r="66">
      <c r="A66" s="120"/>
      <c r="B66" s="126"/>
      <c r="C66" s="214"/>
      <c r="D66" s="113">
        <v>8.0</v>
      </c>
      <c r="E66" s="113">
        <v>12.0</v>
      </c>
      <c r="F66" s="113">
        <v>15.0</v>
      </c>
      <c r="G66" s="212">
        <v>8.0</v>
      </c>
      <c r="H66" s="212">
        <v>12.0</v>
      </c>
      <c r="I66" s="111">
        <v>8.0</v>
      </c>
      <c r="J66" s="111">
        <v>12.0</v>
      </c>
      <c r="K66" s="115"/>
      <c r="L66" s="112">
        <v>10.0</v>
      </c>
      <c r="M66" s="110"/>
      <c r="N66" s="221"/>
      <c r="O66" s="222">
        <v>12.0</v>
      </c>
      <c r="P66" s="223"/>
      <c r="Q66" s="223"/>
      <c r="R66" s="223"/>
      <c r="S66" s="223"/>
      <c r="T66" s="223"/>
      <c r="U66" s="223"/>
      <c r="V66" s="223"/>
      <c r="W66" s="51"/>
      <c r="X66" s="51"/>
      <c r="Y66" s="51"/>
      <c r="Z66" s="51"/>
      <c r="AA66" s="51"/>
      <c r="AB66" s="51"/>
      <c r="AC66" s="51"/>
    </row>
    <row r="67">
      <c r="B67" s="126"/>
      <c r="C67" s="214"/>
      <c r="L67" s="224"/>
      <c r="M67" s="224"/>
      <c r="N67" s="224"/>
    </row>
    <row r="68">
      <c r="A68" s="3" t="s">
        <v>118</v>
      </c>
      <c r="B68" s="126" t="s">
        <v>118</v>
      </c>
      <c r="C68" s="214"/>
      <c r="D68" s="51"/>
      <c r="E68" s="51"/>
      <c r="F68" s="51"/>
      <c r="G68" s="51"/>
      <c r="H68" s="51"/>
      <c r="I68" s="51"/>
      <c r="J68" s="51"/>
      <c r="K68" s="51"/>
      <c r="L68" s="212">
        <v>16.0</v>
      </c>
      <c r="M68" s="220"/>
      <c r="N68" s="220"/>
      <c r="O68" s="53">
        <v>18.0</v>
      </c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</row>
    <row r="69">
      <c r="A69" s="51"/>
      <c r="B69" s="126"/>
      <c r="C69" s="214"/>
      <c r="D69" s="51"/>
      <c r="E69" s="51"/>
      <c r="F69" s="51"/>
      <c r="G69" s="51"/>
      <c r="H69" s="51"/>
      <c r="I69" s="51"/>
      <c r="J69" s="51"/>
      <c r="K69" s="51"/>
      <c r="L69" s="212">
        <v>20.0</v>
      </c>
      <c r="M69" s="220"/>
      <c r="N69" s="220"/>
      <c r="O69" s="53">
        <v>15.0</v>
      </c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</row>
    <row r="70">
      <c r="A70" s="51"/>
      <c r="B70" s="126"/>
      <c r="C70" s="214"/>
      <c r="D70" s="51"/>
      <c r="E70" s="51"/>
      <c r="F70" s="51"/>
      <c r="G70" s="51"/>
      <c r="H70" s="51"/>
      <c r="I70" s="51"/>
      <c r="J70" s="51"/>
      <c r="K70" s="51"/>
      <c r="L70" s="212">
        <v>20.0</v>
      </c>
      <c r="M70" s="220"/>
      <c r="N70" s="220"/>
      <c r="O70" s="53">
        <v>15.0</v>
      </c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</row>
    <row r="71">
      <c r="A71" s="51"/>
      <c r="B71" s="126"/>
      <c r="C71" s="214"/>
      <c r="D71" s="51"/>
      <c r="E71" s="51"/>
      <c r="F71" s="51"/>
      <c r="G71" s="51"/>
      <c r="H71" s="51"/>
      <c r="I71" s="51"/>
      <c r="J71" s="51"/>
      <c r="K71" s="51"/>
      <c r="L71" s="212">
        <v>20.0</v>
      </c>
      <c r="M71" s="220"/>
      <c r="N71" s="220"/>
      <c r="O71" s="53">
        <v>15.0</v>
      </c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</row>
    <row r="72">
      <c r="A72" s="51"/>
      <c r="B72" s="126"/>
      <c r="C72" s="214"/>
      <c r="D72" s="51"/>
      <c r="E72" s="51"/>
      <c r="F72" s="51"/>
      <c r="G72" s="51"/>
      <c r="H72" s="51"/>
      <c r="I72" s="51"/>
      <c r="J72" s="51"/>
      <c r="K72" s="51"/>
      <c r="L72" s="220"/>
      <c r="M72" s="220"/>
      <c r="N72" s="220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</row>
    <row r="73">
      <c r="A73" s="53" t="s">
        <v>115</v>
      </c>
      <c r="B73" s="126" t="s">
        <v>115</v>
      </c>
      <c r="C73" s="214">
        <v>4.6</v>
      </c>
      <c r="D73" s="51"/>
      <c r="E73" s="51"/>
      <c r="F73" s="51"/>
      <c r="G73" s="51"/>
      <c r="H73" s="51"/>
      <c r="I73" s="51"/>
      <c r="J73" s="51"/>
      <c r="K73" s="51"/>
      <c r="L73" s="220"/>
      <c r="M73" s="220"/>
      <c r="N73" s="220"/>
      <c r="O73" s="53">
        <v>18.0</v>
      </c>
      <c r="W73" s="51"/>
      <c r="X73" s="51"/>
      <c r="Y73" s="51"/>
      <c r="Z73" s="51"/>
      <c r="AA73" s="51"/>
      <c r="AB73" s="51"/>
      <c r="AC73" s="51"/>
    </row>
    <row r="74">
      <c r="A74" s="51"/>
      <c r="B74" s="126"/>
      <c r="C74" s="214"/>
      <c r="D74" s="51"/>
      <c r="E74" s="51"/>
      <c r="F74" s="51"/>
      <c r="G74" s="51"/>
      <c r="H74" s="51"/>
      <c r="I74" s="51"/>
      <c r="J74" s="51"/>
      <c r="K74" s="51"/>
      <c r="L74" s="220"/>
      <c r="M74" s="220"/>
      <c r="N74" s="220"/>
      <c r="O74" s="53">
        <v>12.0</v>
      </c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  <c r="AA74" s="51"/>
      <c r="AB74" s="51"/>
      <c r="AC74" s="51"/>
    </row>
    <row r="75">
      <c r="A75" s="51"/>
      <c r="B75" s="126"/>
      <c r="C75" s="214"/>
      <c r="D75" s="51"/>
      <c r="E75" s="51"/>
      <c r="F75" s="51"/>
      <c r="G75" s="51"/>
      <c r="H75" s="51"/>
      <c r="I75" s="51"/>
      <c r="J75" s="51"/>
      <c r="K75" s="51"/>
      <c r="L75" s="220"/>
      <c r="M75" s="220"/>
      <c r="N75" s="220"/>
      <c r="O75" s="53">
        <v>12.0</v>
      </c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</row>
    <row r="76">
      <c r="A76" s="51"/>
      <c r="B76" s="126"/>
      <c r="C76" s="214"/>
      <c r="D76" s="51"/>
      <c r="E76" s="51"/>
      <c r="F76" s="51"/>
      <c r="G76" s="51"/>
      <c r="H76" s="51"/>
      <c r="I76" s="51"/>
      <c r="J76" s="51"/>
      <c r="K76" s="51"/>
      <c r="L76" s="220"/>
      <c r="M76" s="220"/>
      <c r="N76" s="220"/>
      <c r="O76" s="53">
        <v>12.0</v>
      </c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  <c r="AA76" s="51"/>
      <c r="AB76" s="51"/>
      <c r="AC76" s="51"/>
    </row>
    <row r="77">
      <c r="A77" s="126" t="s">
        <v>74</v>
      </c>
      <c r="B77" s="126" t="s">
        <v>62</v>
      </c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51"/>
      <c r="X77" s="51"/>
      <c r="Y77" s="51"/>
      <c r="Z77" s="51"/>
      <c r="AA77" s="51"/>
      <c r="AB77" s="51"/>
      <c r="AC77" s="51"/>
    </row>
    <row r="78">
      <c r="A78" s="51"/>
      <c r="B78" s="126"/>
      <c r="C78" s="214"/>
      <c r="D78" s="51"/>
      <c r="E78" s="51"/>
      <c r="F78" s="51"/>
      <c r="G78" s="51"/>
      <c r="H78" s="51"/>
      <c r="I78" s="51"/>
      <c r="J78" s="51"/>
      <c r="K78" s="51"/>
      <c r="L78" s="220"/>
      <c r="M78" s="220"/>
      <c r="N78" s="220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  <c r="AA78" s="51"/>
      <c r="AB78" s="51"/>
      <c r="AC78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  <c r="AA85" s="51"/>
      <c r="AB85" s="51"/>
      <c r="AC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  <c r="AA90" s="51"/>
      <c r="AB90" s="51"/>
      <c r="AC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  <c r="AA93" s="51"/>
      <c r="AB93" s="51"/>
      <c r="AC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  <c r="AA94" s="51"/>
      <c r="AB94" s="51"/>
      <c r="AC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  <c r="AA96" s="51"/>
      <c r="AB96" s="51"/>
      <c r="AC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  <c r="AA97" s="51"/>
      <c r="AB97" s="51"/>
      <c r="AC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  <c r="AA98" s="51"/>
      <c r="AB98" s="51"/>
      <c r="AC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  <c r="AA100" s="51"/>
      <c r="AB100" s="51"/>
      <c r="AC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  <c r="AA101" s="51"/>
      <c r="AB101" s="51"/>
      <c r="AC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  <c r="AA103" s="51"/>
      <c r="AB103" s="51"/>
      <c r="AC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  <c r="AA107" s="51"/>
      <c r="AB107" s="51"/>
      <c r="AC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  <c r="AA108" s="51"/>
      <c r="AB108" s="51"/>
      <c r="AC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  <c r="AA109" s="51"/>
      <c r="AB109" s="51"/>
      <c r="AC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  <c r="AA110" s="51"/>
      <c r="AB110" s="51"/>
      <c r="AC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  <c r="AA111" s="51"/>
      <c r="AB111" s="51"/>
      <c r="AC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  <c r="AA112" s="51"/>
      <c r="AB112" s="51"/>
      <c r="AC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  <c r="AA118" s="51"/>
      <c r="AB118" s="51"/>
      <c r="AC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  <c r="AA119" s="51"/>
      <c r="AB119" s="51"/>
      <c r="AC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  <c r="AA120" s="51"/>
      <c r="AB120" s="51"/>
      <c r="AC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  <c r="AA121" s="51"/>
      <c r="AB121" s="51"/>
      <c r="AC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  <c r="AA122" s="51"/>
      <c r="AB122" s="51"/>
      <c r="AC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  <c r="AA123" s="51"/>
      <c r="AB123" s="51"/>
      <c r="AC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  <c r="AA124" s="51"/>
      <c r="AB124" s="51"/>
      <c r="AC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  <c r="AA125" s="51"/>
      <c r="AB125" s="51"/>
      <c r="AC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  <c r="AA127" s="51"/>
      <c r="AB127" s="51"/>
      <c r="AC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  <c r="AA128" s="51"/>
      <c r="AB128" s="51"/>
      <c r="AC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  <c r="AA131" s="51"/>
      <c r="AB131" s="51"/>
      <c r="AC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  <c r="AA133" s="51"/>
      <c r="AB133" s="51"/>
      <c r="AC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  <c r="AA135" s="51"/>
      <c r="AB135" s="51"/>
      <c r="AC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  <c r="AA137" s="51"/>
      <c r="AB137" s="51"/>
      <c r="AC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  <c r="AA141" s="51"/>
      <c r="AB141" s="51"/>
      <c r="AC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  <c r="AA151" s="51"/>
      <c r="AB151" s="51"/>
      <c r="AC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  <c r="AA152" s="51"/>
      <c r="AB152" s="51"/>
      <c r="AC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  <c r="AA153" s="51"/>
      <c r="AB153" s="51"/>
      <c r="AC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  <c r="AA155" s="51"/>
      <c r="AB155" s="51"/>
      <c r="AC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  <c r="AA156" s="51"/>
      <c r="AB156" s="51"/>
      <c r="AC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  <c r="AA158" s="51"/>
      <c r="AB158" s="51"/>
      <c r="AC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  <c r="AA159" s="51"/>
      <c r="AB159" s="51"/>
      <c r="AC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  <c r="AA160" s="51"/>
      <c r="AB160" s="51"/>
      <c r="AC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  <c r="AA161" s="51"/>
      <c r="AB161" s="51"/>
      <c r="AC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  <c r="AA162" s="51"/>
      <c r="AB162" s="51"/>
      <c r="AC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  <c r="AA163" s="51"/>
      <c r="AB163" s="51"/>
      <c r="AC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  <c r="AA164" s="51"/>
      <c r="AB164" s="51"/>
      <c r="AC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  <c r="AA165" s="51"/>
      <c r="AB165" s="51"/>
      <c r="AC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  <c r="AA166" s="51"/>
      <c r="AB166" s="51"/>
      <c r="AC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  <c r="AA167" s="51"/>
      <c r="AB167" s="51"/>
      <c r="AC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  <c r="AA171" s="51"/>
      <c r="AB171" s="51"/>
      <c r="AC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  <c r="AA172" s="51"/>
      <c r="AB172" s="51"/>
      <c r="AC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  <c r="AA174" s="51"/>
      <c r="AB174" s="51"/>
      <c r="AC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  <c r="AA178" s="51"/>
      <c r="AB178" s="51"/>
      <c r="AC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  <c r="AA179" s="51"/>
      <c r="AB179" s="51"/>
      <c r="AC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  <c r="AA180" s="51"/>
      <c r="AB180" s="51"/>
      <c r="AC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  <c r="AA181" s="51"/>
      <c r="AB181" s="51"/>
      <c r="AC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  <c r="AA183" s="51"/>
      <c r="AB183" s="51"/>
      <c r="AC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  <c r="AA186" s="51"/>
      <c r="AB186" s="51"/>
      <c r="AC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  <c r="AA187" s="51"/>
      <c r="AB187" s="51"/>
      <c r="AC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  <c r="AA189" s="51"/>
      <c r="AB189" s="51"/>
      <c r="AC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  <c r="AA190" s="51"/>
      <c r="AB190" s="51"/>
      <c r="AC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  <c r="AA191" s="51"/>
      <c r="AB191" s="51"/>
      <c r="AC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  <c r="AA192" s="51"/>
      <c r="AB192" s="51"/>
      <c r="AC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  <c r="AA193" s="51"/>
      <c r="AB193" s="51"/>
      <c r="AC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  <c r="AA194" s="51"/>
      <c r="AB194" s="51"/>
      <c r="AC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  <c r="AA195" s="51"/>
      <c r="AB195" s="51"/>
      <c r="AC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  <c r="AA196" s="51"/>
      <c r="AB196" s="51"/>
      <c r="AC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  <c r="AA198" s="51"/>
      <c r="AB198" s="51"/>
      <c r="AC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  <c r="AA202" s="51"/>
      <c r="AB202" s="51"/>
      <c r="AC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  <c r="AA203" s="51"/>
      <c r="AB203" s="51"/>
      <c r="AC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  <c r="AA204" s="51"/>
      <c r="AB204" s="51"/>
      <c r="AC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  <c r="AA205" s="51"/>
      <c r="AB205" s="51"/>
      <c r="AC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  <c r="AA206" s="51"/>
      <c r="AB206" s="51"/>
      <c r="AC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  <c r="AA207" s="51"/>
      <c r="AB207" s="51"/>
      <c r="AC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  <c r="AA208" s="51"/>
      <c r="AB208" s="51"/>
      <c r="AC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  <c r="AA210" s="51"/>
      <c r="AB210" s="51"/>
      <c r="AC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  <c r="AA211" s="51"/>
      <c r="AB211" s="51"/>
      <c r="AC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  <c r="AA212" s="51"/>
      <c r="AB212" s="51"/>
      <c r="AC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  <c r="AA213" s="51"/>
      <c r="AB213" s="51"/>
      <c r="AC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  <c r="AA216" s="51"/>
      <c r="AB216" s="51"/>
      <c r="AC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  <c r="AA217" s="51"/>
      <c r="AB217" s="51"/>
      <c r="AC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  <c r="AA218" s="51"/>
      <c r="AB218" s="51"/>
      <c r="AC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  <c r="AA220" s="51"/>
      <c r="AB220" s="51"/>
      <c r="AC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  <c r="AA221" s="51"/>
      <c r="AB221" s="51"/>
      <c r="AC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  <c r="AA222" s="51"/>
      <c r="AB222" s="51"/>
      <c r="AC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  <c r="AA223" s="51"/>
      <c r="AB223" s="51"/>
      <c r="AC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  <c r="AA225" s="51"/>
      <c r="AB225" s="51"/>
      <c r="AC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  <c r="AA226" s="51"/>
      <c r="AB226" s="51"/>
      <c r="AC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  <c r="AA227" s="51"/>
      <c r="AB227" s="51"/>
      <c r="AC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  <c r="AA228" s="51"/>
      <c r="AB228" s="51"/>
      <c r="AC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  <c r="AA229" s="51"/>
      <c r="AB229" s="51"/>
      <c r="AC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  <c r="AA230" s="51"/>
      <c r="AB230" s="51"/>
      <c r="AC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  <c r="AA231" s="51"/>
      <c r="AB231" s="51"/>
      <c r="AC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  <c r="AA233" s="51"/>
      <c r="AB233" s="51"/>
      <c r="AC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  <c r="AA234" s="51"/>
      <c r="AB234" s="51"/>
      <c r="AC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  <c r="AA237" s="51"/>
      <c r="AB237" s="51"/>
      <c r="AC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  <c r="AA240" s="51"/>
      <c r="AB240" s="51"/>
      <c r="AC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  <c r="AA242" s="51"/>
      <c r="AB242" s="51"/>
      <c r="AC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  <c r="AA245" s="51"/>
      <c r="AB245" s="51"/>
      <c r="AC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  <c r="AA247" s="51"/>
      <c r="AB247" s="51"/>
      <c r="AC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  <c r="AA248" s="51"/>
      <c r="AB248" s="51"/>
      <c r="AC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  <c r="AA249" s="51"/>
      <c r="AB249" s="51"/>
      <c r="AC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  <c r="AA252" s="51"/>
      <c r="AB252" s="51"/>
      <c r="AC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  <c r="AA253" s="51"/>
      <c r="AB253" s="51"/>
      <c r="AC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  <c r="AA256" s="51"/>
      <c r="AB256" s="51"/>
      <c r="AC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  <c r="AA257" s="51"/>
      <c r="AB257" s="51"/>
      <c r="AC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  <c r="AA258" s="51"/>
      <c r="AB258" s="51"/>
      <c r="AC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  <c r="AA259" s="51"/>
      <c r="AB259" s="51"/>
      <c r="AC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  <c r="AA262" s="51"/>
      <c r="AB262" s="51"/>
      <c r="AC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  <c r="AA263" s="51"/>
      <c r="AB263" s="51"/>
      <c r="AC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  <c r="AA264" s="51"/>
      <c r="AB264" s="51"/>
      <c r="AC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  <c r="AA265" s="51"/>
      <c r="AB265" s="51"/>
      <c r="AC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  <c r="AA267" s="51"/>
      <c r="AB267" s="51"/>
      <c r="AC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  <c r="AA268" s="51"/>
      <c r="AB268" s="51"/>
      <c r="AC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  <c r="AA269" s="51"/>
      <c r="AB269" s="51"/>
      <c r="AC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  <c r="AA270" s="51"/>
      <c r="AB270" s="51"/>
      <c r="AC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  <c r="AA271" s="51"/>
      <c r="AB271" s="51"/>
      <c r="AC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  <c r="AA272" s="51"/>
      <c r="AB272" s="51"/>
      <c r="AC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  <c r="AA273" s="51"/>
      <c r="AB273" s="51"/>
      <c r="AC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  <c r="AA274" s="51"/>
      <c r="AB274" s="51"/>
      <c r="AC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  <c r="AA279" s="51"/>
      <c r="AB279" s="51"/>
      <c r="AC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  <c r="AA280" s="51"/>
      <c r="AB280" s="51"/>
      <c r="AC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  <c r="AA307" s="51"/>
      <c r="AB307" s="51"/>
      <c r="AC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  <c r="AA308" s="51"/>
      <c r="AB308" s="51"/>
      <c r="AC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  <c r="AA309" s="51"/>
      <c r="AB309" s="51"/>
      <c r="AC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  <c r="AA310" s="51"/>
      <c r="AB310" s="51"/>
      <c r="AC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  <c r="AA311" s="51"/>
      <c r="AB311" s="51"/>
      <c r="AC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  <c r="AA312" s="51"/>
      <c r="AB312" s="51"/>
      <c r="AC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  <c r="AA313" s="51"/>
      <c r="AB313" s="51"/>
      <c r="AC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  <c r="AA314" s="51"/>
      <c r="AB314" s="51"/>
      <c r="AC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  <c r="AA315" s="51"/>
      <c r="AB315" s="51"/>
      <c r="AC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  <c r="AA317" s="51"/>
      <c r="AB317" s="51"/>
      <c r="AC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  <c r="AA318" s="51"/>
      <c r="AB318" s="51"/>
      <c r="AC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  <c r="AA319" s="51"/>
      <c r="AB319" s="51"/>
      <c r="AC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  <c r="AA320" s="51"/>
      <c r="AB320" s="51"/>
      <c r="AC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  <c r="AA323" s="51"/>
      <c r="AB323" s="51"/>
      <c r="AC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  <c r="AA324" s="51"/>
      <c r="AB324" s="51"/>
      <c r="AC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  <c r="AA325" s="51"/>
      <c r="AB325" s="51"/>
      <c r="AC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  <c r="AA326" s="51"/>
      <c r="AB326" s="51"/>
      <c r="AC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  <c r="AA327" s="51"/>
      <c r="AB327" s="51"/>
      <c r="AC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  <c r="AA328" s="51"/>
      <c r="AB328" s="51"/>
      <c r="AC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  <c r="AA329" s="51"/>
      <c r="AB329" s="51"/>
      <c r="AC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  <c r="AA330" s="51"/>
      <c r="AB330" s="51"/>
      <c r="AC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  <c r="AA331" s="51"/>
      <c r="AB331" s="51"/>
      <c r="AC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  <c r="AA332" s="51"/>
      <c r="AB332" s="51"/>
      <c r="AC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  <c r="AA333" s="51"/>
      <c r="AB333" s="51"/>
      <c r="AC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  <c r="AA334" s="51"/>
      <c r="AB334" s="51"/>
      <c r="AC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  <c r="AA335" s="51"/>
      <c r="AB335" s="51"/>
      <c r="AC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  <c r="AA336" s="51"/>
      <c r="AB336" s="51"/>
      <c r="AC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  <c r="AA337" s="51"/>
      <c r="AB337" s="51"/>
      <c r="AC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  <c r="AA339" s="51"/>
      <c r="AB339" s="51"/>
      <c r="AC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  <c r="AA341" s="51"/>
      <c r="AB341" s="51"/>
      <c r="AC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  <c r="AA343" s="51"/>
      <c r="AB343" s="51"/>
      <c r="AC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  <c r="AA344" s="51"/>
      <c r="AB344" s="51"/>
      <c r="AC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  <c r="AA345" s="51"/>
      <c r="AB345" s="51"/>
      <c r="AC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  <c r="AA346" s="51"/>
      <c r="AB346" s="51"/>
      <c r="AC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  <c r="AA347" s="51"/>
      <c r="AB347" s="51"/>
      <c r="AC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  <c r="AA348" s="51"/>
      <c r="AB348" s="51"/>
      <c r="AC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  <c r="AA349" s="51"/>
      <c r="AB349" s="51"/>
      <c r="AC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  <c r="AA350" s="51"/>
      <c r="AB350" s="51"/>
      <c r="AC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  <c r="AA351" s="51"/>
      <c r="AB351" s="51"/>
      <c r="AC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  <c r="AA352" s="51"/>
      <c r="AB352" s="51"/>
      <c r="AC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  <c r="AA353" s="51"/>
      <c r="AB353" s="51"/>
      <c r="AC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  <c r="AA354" s="51"/>
      <c r="AB354" s="51"/>
      <c r="AC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  <c r="AA355" s="51"/>
      <c r="AB355" s="51"/>
      <c r="AC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  <c r="AA356" s="51"/>
      <c r="AB356" s="51"/>
      <c r="AC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  <c r="AA357" s="51"/>
      <c r="AB357" s="51"/>
      <c r="AC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  <c r="AA358" s="51"/>
      <c r="AB358" s="51"/>
      <c r="AC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  <c r="AA360" s="51"/>
      <c r="AB360" s="51"/>
      <c r="AC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  <c r="AA361" s="51"/>
      <c r="AB361" s="51"/>
      <c r="AC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  <c r="AA362" s="51"/>
      <c r="AB362" s="51"/>
      <c r="AC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  <c r="AA363" s="51"/>
      <c r="AB363" s="51"/>
      <c r="AC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  <c r="AA364" s="51"/>
      <c r="AB364" s="51"/>
      <c r="AC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  <c r="AA365" s="51"/>
      <c r="AB365" s="51"/>
      <c r="AC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  <c r="AA366" s="51"/>
      <c r="AB366" s="51"/>
      <c r="AC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  <c r="AA367" s="51"/>
      <c r="AB367" s="51"/>
      <c r="AC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  <c r="AA368" s="51"/>
      <c r="AB368" s="51"/>
      <c r="AC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  <c r="AA369" s="51"/>
      <c r="AB369" s="51"/>
      <c r="AC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  <c r="AA370" s="51"/>
      <c r="AB370" s="51"/>
      <c r="AC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  <c r="AA371" s="51"/>
      <c r="AB371" s="51"/>
      <c r="AC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  <c r="AA372" s="51"/>
      <c r="AB372" s="51"/>
      <c r="AC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  <c r="AA373" s="51"/>
      <c r="AB373" s="51"/>
      <c r="AC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  <c r="AA374" s="51"/>
      <c r="AB374" s="51"/>
      <c r="AC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  <c r="AA375" s="51"/>
      <c r="AB375" s="51"/>
      <c r="AC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  <c r="AA376" s="51"/>
      <c r="AB376" s="51"/>
      <c r="AC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  <c r="AA377" s="51"/>
      <c r="AB377" s="51"/>
      <c r="AC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  <c r="AA378" s="51"/>
      <c r="AB378" s="51"/>
      <c r="AC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  <c r="AA379" s="51"/>
      <c r="AB379" s="51"/>
      <c r="AC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  <c r="AA380" s="51"/>
      <c r="AB380" s="51"/>
      <c r="AC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  <c r="AA381" s="51"/>
      <c r="AB381" s="51"/>
      <c r="AC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  <c r="AA382" s="51"/>
      <c r="AB382" s="51"/>
      <c r="AC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  <c r="AA383" s="51"/>
      <c r="AB383" s="51"/>
      <c r="AC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  <c r="AA384" s="51"/>
      <c r="AB384" s="51"/>
      <c r="AC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  <c r="AA385" s="51"/>
      <c r="AB385" s="51"/>
      <c r="AC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  <c r="AA386" s="51"/>
      <c r="AB386" s="51"/>
      <c r="AC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  <c r="AA387" s="51"/>
      <c r="AB387" s="51"/>
      <c r="AC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  <c r="AA388" s="51"/>
      <c r="AB388" s="51"/>
      <c r="AC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  <c r="AA389" s="51"/>
      <c r="AB389" s="51"/>
      <c r="AC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  <c r="AA390" s="51"/>
      <c r="AB390" s="51"/>
      <c r="AC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  <c r="AA391" s="51"/>
      <c r="AB391" s="51"/>
      <c r="AC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  <c r="AA392" s="51"/>
      <c r="AB392" s="51"/>
      <c r="AC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  <c r="AA393" s="51"/>
      <c r="AB393" s="51"/>
      <c r="AC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  <c r="AA394" s="51"/>
      <c r="AB394" s="51"/>
      <c r="AC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  <c r="AA396" s="51"/>
      <c r="AB396" s="51"/>
      <c r="AC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  <c r="AA397" s="51"/>
      <c r="AB397" s="51"/>
      <c r="AC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  <c r="AA398" s="51"/>
      <c r="AB398" s="51"/>
      <c r="AC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  <c r="AA399" s="51"/>
      <c r="AB399" s="51"/>
      <c r="AC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  <c r="AA400" s="51"/>
      <c r="AB400" s="51"/>
      <c r="AC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  <c r="AA401" s="51"/>
      <c r="AB401" s="51"/>
      <c r="AC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  <c r="AA403" s="51"/>
      <c r="AB403" s="51"/>
      <c r="AC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  <c r="AA404" s="51"/>
      <c r="AB404" s="51"/>
      <c r="AC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  <c r="AA405" s="51"/>
      <c r="AB405" s="51"/>
      <c r="AC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  <c r="AA406" s="51"/>
      <c r="AB406" s="51"/>
      <c r="AC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  <c r="AA407" s="51"/>
      <c r="AB407" s="51"/>
      <c r="AC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  <c r="AA408" s="51"/>
      <c r="AB408" s="51"/>
      <c r="AC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</row>
    <row r="2" ht="14.25" customHeight="1">
      <c r="A2" s="225">
        <v>64.0</v>
      </c>
      <c r="B2" s="226"/>
      <c r="C2" s="226">
        <v>2.0</v>
      </c>
      <c r="D2" s="226">
        <v>3.0</v>
      </c>
      <c r="E2" s="226">
        <v>4.0</v>
      </c>
      <c r="F2" s="226">
        <v>5.0</v>
      </c>
      <c r="G2" s="226">
        <v>6.0</v>
      </c>
      <c r="H2" s="226">
        <v>7.0</v>
      </c>
      <c r="I2" s="226">
        <v>8.0</v>
      </c>
      <c r="J2" s="226">
        <v>9.0</v>
      </c>
      <c r="K2" s="226">
        <v>10.0</v>
      </c>
      <c r="L2" s="226">
        <v>11.0</v>
      </c>
      <c r="M2" s="226">
        <v>12.0</v>
      </c>
      <c r="N2" s="226">
        <v>13.0</v>
      </c>
      <c r="O2" s="226">
        <v>14.0</v>
      </c>
      <c r="P2" s="226">
        <v>15.0</v>
      </c>
      <c r="Q2" s="226">
        <v>16.0</v>
      </c>
      <c r="R2" s="226">
        <v>17.0</v>
      </c>
      <c r="S2" s="226">
        <v>18.0</v>
      </c>
      <c r="T2" s="226">
        <v>19.0</v>
      </c>
      <c r="U2" s="226">
        <v>20.0</v>
      </c>
      <c r="V2" s="2"/>
      <c r="W2" s="226"/>
      <c r="X2" s="226">
        <v>2.0</v>
      </c>
      <c r="Y2" s="226">
        <v>3.0</v>
      </c>
      <c r="Z2" s="226">
        <v>4.0</v>
      </c>
      <c r="AA2" s="226">
        <v>5.0</v>
      </c>
      <c r="AB2" s="226">
        <v>6.0</v>
      </c>
      <c r="AC2" s="226">
        <v>7.0</v>
      </c>
      <c r="AD2" s="226">
        <v>8.0</v>
      </c>
      <c r="AE2" s="226">
        <v>9.0</v>
      </c>
      <c r="AF2" s="226">
        <v>10.0</v>
      </c>
      <c r="AG2" s="226">
        <v>11.0</v>
      </c>
      <c r="AH2" s="226">
        <v>12.0</v>
      </c>
      <c r="AI2" s="226">
        <v>13.0</v>
      </c>
      <c r="AJ2" s="226">
        <v>14.0</v>
      </c>
      <c r="AK2" s="226">
        <v>15.0</v>
      </c>
      <c r="AL2" s="226">
        <v>16.0</v>
      </c>
      <c r="AM2" s="226">
        <v>17.0</v>
      </c>
      <c r="AN2" s="226">
        <v>18.0</v>
      </c>
      <c r="AO2" s="226">
        <v>19.0</v>
      </c>
      <c r="AP2" s="226">
        <v>20.0</v>
      </c>
    </row>
    <row r="3" ht="14.25" customHeight="1">
      <c r="A3" s="19" t="s">
        <v>222</v>
      </c>
      <c r="B3" s="227">
        <v>1.0</v>
      </c>
      <c r="C3" s="226">
        <f t="shared" ref="C3:J3" si="1">ROUND(AVERAGE($B3/(1.0278-0.0278*C$2),$B3*C$2^0.1),1)</f>
        <v>1.1</v>
      </c>
      <c r="D3" s="226">
        <f t="shared" si="1"/>
        <v>1.1</v>
      </c>
      <c r="E3" s="226">
        <f t="shared" si="1"/>
        <v>1.1</v>
      </c>
      <c r="F3" s="227">
        <f t="shared" si="1"/>
        <v>1.1</v>
      </c>
      <c r="G3" s="226">
        <f t="shared" si="1"/>
        <v>1.2</v>
      </c>
      <c r="H3" s="226">
        <f t="shared" si="1"/>
        <v>1.2</v>
      </c>
      <c r="I3" s="227">
        <f t="shared" si="1"/>
        <v>1.2</v>
      </c>
      <c r="J3" s="226">
        <f t="shared" si="1"/>
        <v>1.3</v>
      </c>
      <c r="K3" s="227">
        <f t="shared" ref="K3:U3" si="2">ROUND(AVERAGE($B3*(1+0.0333*K$2),$B3*K$2^0.1),1)</f>
        <v>1.3</v>
      </c>
      <c r="L3" s="226">
        <f t="shared" si="2"/>
        <v>1.3</v>
      </c>
      <c r="M3" s="227">
        <f t="shared" si="2"/>
        <v>1.3</v>
      </c>
      <c r="N3" s="226">
        <f t="shared" si="2"/>
        <v>1.4</v>
      </c>
      <c r="O3" s="226">
        <f t="shared" si="2"/>
        <v>1.4</v>
      </c>
      <c r="P3" s="227">
        <f t="shared" si="2"/>
        <v>1.4</v>
      </c>
      <c r="Q3" s="226">
        <f t="shared" si="2"/>
        <v>1.4</v>
      </c>
      <c r="R3" s="226">
        <f t="shared" si="2"/>
        <v>1.4</v>
      </c>
      <c r="S3" s="227">
        <f t="shared" si="2"/>
        <v>1.5</v>
      </c>
      <c r="T3" s="226">
        <f t="shared" si="2"/>
        <v>1.5</v>
      </c>
      <c r="U3" s="226">
        <f t="shared" si="2"/>
        <v>1.5</v>
      </c>
      <c r="V3" s="2"/>
      <c r="W3" s="227">
        <v>40.0</v>
      </c>
      <c r="X3" s="226">
        <f t="shared" ref="X3:AE3" si="3">ROUND(AVERAGE($W3/(1.0278-0.0278*X$2),$W3*X$2^0.1),1)</f>
        <v>42</v>
      </c>
      <c r="Y3" s="226">
        <f t="shared" si="3"/>
        <v>43.5</v>
      </c>
      <c r="Z3" s="226">
        <f t="shared" si="3"/>
        <v>44.8</v>
      </c>
      <c r="AA3" s="227">
        <f t="shared" si="3"/>
        <v>46</v>
      </c>
      <c r="AB3" s="226">
        <f t="shared" si="3"/>
        <v>47.2</v>
      </c>
      <c r="AC3" s="226">
        <f t="shared" si="3"/>
        <v>48.3</v>
      </c>
      <c r="AD3" s="227">
        <f t="shared" si="3"/>
        <v>49.5</v>
      </c>
      <c r="AE3" s="226">
        <f t="shared" si="3"/>
        <v>50.6</v>
      </c>
      <c r="AF3" s="227">
        <f t="shared" ref="AF3:AP3" si="4">ROUND(AVERAGE($W3*(1+0.0333*K$2),$W3*K$2^0.1),1)</f>
        <v>51.8</v>
      </c>
      <c r="AG3" s="226">
        <f t="shared" si="4"/>
        <v>52.7</v>
      </c>
      <c r="AH3" s="227">
        <f t="shared" si="4"/>
        <v>53.6</v>
      </c>
      <c r="AI3" s="226">
        <f t="shared" si="4"/>
        <v>54.5</v>
      </c>
      <c r="AJ3" s="226">
        <f t="shared" si="4"/>
        <v>55.4</v>
      </c>
      <c r="AK3" s="227">
        <f t="shared" si="4"/>
        <v>56.2</v>
      </c>
      <c r="AL3" s="226">
        <f t="shared" si="4"/>
        <v>57</v>
      </c>
      <c r="AM3" s="226">
        <f t="shared" si="4"/>
        <v>57.9</v>
      </c>
      <c r="AN3" s="227">
        <f t="shared" si="4"/>
        <v>58.7</v>
      </c>
      <c r="AO3" s="226">
        <f t="shared" si="4"/>
        <v>59.5</v>
      </c>
      <c r="AP3" s="226">
        <f t="shared" si="4"/>
        <v>60.3</v>
      </c>
    </row>
    <row r="4" ht="14.25" customHeight="1">
      <c r="A4" s="228" t="s">
        <v>223</v>
      </c>
      <c r="B4" s="227">
        <v>2.0</v>
      </c>
      <c r="C4" s="226">
        <f t="shared" ref="C4:J4" si="5">ROUND(AVERAGE($B4/(1.0278-0.0278*C$2),$B4*C$2^0.1),1)</f>
        <v>2.1</v>
      </c>
      <c r="D4" s="226">
        <f t="shared" si="5"/>
        <v>2.2</v>
      </c>
      <c r="E4" s="226">
        <f t="shared" si="5"/>
        <v>2.2</v>
      </c>
      <c r="F4" s="227">
        <f t="shared" si="5"/>
        <v>2.3</v>
      </c>
      <c r="G4" s="226">
        <f t="shared" si="5"/>
        <v>2.4</v>
      </c>
      <c r="H4" s="226">
        <f t="shared" si="5"/>
        <v>2.4</v>
      </c>
      <c r="I4" s="227">
        <f t="shared" si="5"/>
        <v>2.5</v>
      </c>
      <c r="J4" s="226">
        <f t="shared" si="5"/>
        <v>2.5</v>
      </c>
      <c r="K4" s="227">
        <f t="shared" ref="K4:U4" si="6">ROUND(AVERAGE($B4*(1+0.0333*K$2),$B4*K$2^0.1),1)</f>
        <v>2.6</v>
      </c>
      <c r="L4" s="226">
        <f t="shared" si="6"/>
        <v>2.6</v>
      </c>
      <c r="M4" s="227">
        <f t="shared" si="6"/>
        <v>2.7</v>
      </c>
      <c r="N4" s="226">
        <f t="shared" si="6"/>
        <v>2.7</v>
      </c>
      <c r="O4" s="226">
        <f t="shared" si="6"/>
        <v>2.8</v>
      </c>
      <c r="P4" s="227">
        <f t="shared" si="6"/>
        <v>2.8</v>
      </c>
      <c r="Q4" s="226">
        <f t="shared" si="6"/>
        <v>2.9</v>
      </c>
      <c r="R4" s="226">
        <f t="shared" si="6"/>
        <v>2.9</v>
      </c>
      <c r="S4" s="227">
        <f t="shared" si="6"/>
        <v>2.9</v>
      </c>
      <c r="T4" s="226">
        <f t="shared" si="6"/>
        <v>3</v>
      </c>
      <c r="U4" s="226">
        <f t="shared" si="6"/>
        <v>3</v>
      </c>
      <c r="V4" s="2"/>
      <c r="W4" s="227">
        <v>41.0</v>
      </c>
      <c r="X4" s="226">
        <f t="shared" ref="X4:AE4" si="7">ROUND(AVERAGE($W4/(1.0278-0.0278*X$2),$W4*X$2^0.1),1)</f>
        <v>43.1</v>
      </c>
      <c r="Y4" s="226">
        <f t="shared" si="7"/>
        <v>44.6</v>
      </c>
      <c r="Z4" s="226">
        <f t="shared" si="7"/>
        <v>45.9</v>
      </c>
      <c r="AA4" s="227">
        <f t="shared" si="7"/>
        <v>47.1</v>
      </c>
      <c r="AB4" s="226">
        <f t="shared" si="7"/>
        <v>48.3</v>
      </c>
      <c r="AC4" s="226">
        <f t="shared" si="7"/>
        <v>49.5</v>
      </c>
      <c r="AD4" s="227">
        <f t="shared" si="7"/>
        <v>50.7</v>
      </c>
      <c r="AE4" s="226">
        <f t="shared" si="7"/>
        <v>51.9</v>
      </c>
      <c r="AF4" s="227">
        <f t="shared" ref="AF4:AP4" si="8">ROUND(AVERAGE($W4*(1+0.0333*K$2),$W4*K$2^0.1),1)</f>
        <v>53.1</v>
      </c>
      <c r="AG4" s="226">
        <f t="shared" si="8"/>
        <v>54.1</v>
      </c>
      <c r="AH4" s="227">
        <f t="shared" si="8"/>
        <v>55</v>
      </c>
      <c r="AI4" s="226">
        <f t="shared" si="8"/>
        <v>55.9</v>
      </c>
      <c r="AJ4" s="226">
        <f t="shared" si="8"/>
        <v>56.7</v>
      </c>
      <c r="AK4" s="227">
        <f t="shared" si="8"/>
        <v>57.6</v>
      </c>
      <c r="AL4" s="226">
        <f t="shared" si="8"/>
        <v>58.5</v>
      </c>
      <c r="AM4" s="226">
        <f t="shared" si="8"/>
        <v>59.3</v>
      </c>
      <c r="AN4" s="227">
        <f t="shared" si="8"/>
        <v>60.2</v>
      </c>
      <c r="AO4" s="226">
        <f t="shared" si="8"/>
        <v>61</v>
      </c>
      <c r="AP4" s="226">
        <f t="shared" si="8"/>
        <v>61.8</v>
      </c>
    </row>
    <row r="5" ht="14.25" customHeight="1">
      <c r="A5" s="229" t="s">
        <v>224</v>
      </c>
      <c r="B5" s="227">
        <v>3.0</v>
      </c>
      <c r="C5" s="226">
        <f t="shared" ref="C5:J5" si="9">ROUND(AVERAGE($B5/(1.0278-0.0278*C$2),$B5*C$2^0.1),1)</f>
        <v>3.2</v>
      </c>
      <c r="D5" s="226">
        <f t="shared" si="9"/>
        <v>3.3</v>
      </c>
      <c r="E5" s="226">
        <f t="shared" si="9"/>
        <v>3.4</v>
      </c>
      <c r="F5" s="227">
        <f t="shared" si="9"/>
        <v>3.4</v>
      </c>
      <c r="G5" s="226">
        <f t="shared" si="9"/>
        <v>3.5</v>
      </c>
      <c r="H5" s="226">
        <f t="shared" si="9"/>
        <v>3.6</v>
      </c>
      <c r="I5" s="227">
        <f t="shared" si="9"/>
        <v>3.7</v>
      </c>
      <c r="J5" s="226">
        <f t="shared" si="9"/>
        <v>3.8</v>
      </c>
      <c r="K5" s="227">
        <f t="shared" ref="K5:U5" si="10">ROUND(AVERAGE($B5*(1+0.0333*K$2),$B5*K$2^0.1),1)</f>
        <v>3.9</v>
      </c>
      <c r="L5" s="226">
        <f t="shared" si="10"/>
        <v>4</v>
      </c>
      <c r="M5" s="227">
        <f t="shared" si="10"/>
        <v>4</v>
      </c>
      <c r="N5" s="226">
        <f t="shared" si="10"/>
        <v>4.1</v>
      </c>
      <c r="O5" s="226">
        <f t="shared" si="10"/>
        <v>4.2</v>
      </c>
      <c r="P5" s="227">
        <f t="shared" si="10"/>
        <v>4.2</v>
      </c>
      <c r="Q5" s="226">
        <f t="shared" si="10"/>
        <v>4.3</v>
      </c>
      <c r="R5" s="226">
        <f t="shared" si="10"/>
        <v>4.3</v>
      </c>
      <c r="S5" s="227">
        <f t="shared" si="10"/>
        <v>4.4</v>
      </c>
      <c r="T5" s="226">
        <f t="shared" si="10"/>
        <v>4.5</v>
      </c>
      <c r="U5" s="226">
        <f t="shared" si="10"/>
        <v>4.5</v>
      </c>
      <c r="V5" s="2"/>
      <c r="W5" s="227">
        <v>42.0</v>
      </c>
      <c r="X5" s="226">
        <f t="shared" ref="X5:AE5" si="11">ROUND(AVERAGE($W5/(1.0278-0.0278*X$2),$W5*X$2^0.1),1)</f>
        <v>44.1</v>
      </c>
      <c r="Y5" s="226">
        <f t="shared" si="11"/>
        <v>45.7</v>
      </c>
      <c r="Z5" s="226">
        <f t="shared" si="11"/>
        <v>47</v>
      </c>
      <c r="AA5" s="227">
        <f t="shared" si="11"/>
        <v>48.3</v>
      </c>
      <c r="AB5" s="226">
        <f t="shared" si="11"/>
        <v>49.5</v>
      </c>
      <c r="AC5" s="226">
        <f t="shared" si="11"/>
        <v>50.7</v>
      </c>
      <c r="AD5" s="227">
        <f t="shared" si="11"/>
        <v>51.9</v>
      </c>
      <c r="AE5" s="226">
        <f t="shared" si="11"/>
        <v>53.2</v>
      </c>
      <c r="AF5" s="227">
        <f t="shared" ref="AF5:AP5" si="12">ROUND(AVERAGE($W5*(1+0.0333*K$2),$W5*K$2^0.1),1)</f>
        <v>54.4</v>
      </c>
      <c r="AG5" s="226">
        <f t="shared" si="12"/>
        <v>55.4</v>
      </c>
      <c r="AH5" s="227">
        <f t="shared" si="12"/>
        <v>56.3</v>
      </c>
      <c r="AI5" s="226">
        <f t="shared" si="12"/>
        <v>57.2</v>
      </c>
      <c r="AJ5" s="226">
        <f t="shared" si="12"/>
        <v>58.1</v>
      </c>
      <c r="AK5" s="227">
        <f t="shared" si="12"/>
        <v>59</v>
      </c>
      <c r="AL5" s="226">
        <f t="shared" si="12"/>
        <v>59.9</v>
      </c>
      <c r="AM5" s="226">
        <f t="shared" si="12"/>
        <v>60.8</v>
      </c>
      <c r="AN5" s="227">
        <f t="shared" si="12"/>
        <v>61.6</v>
      </c>
      <c r="AO5" s="226">
        <f t="shared" si="12"/>
        <v>62.5</v>
      </c>
      <c r="AP5" s="226">
        <f t="shared" si="12"/>
        <v>63.3</v>
      </c>
    </row>
    <row r="6" ht="14.25" customHeight="1">
      <c r="A6" s="28" t="s">
        <v>225</v>
      </c>
      <c r="B6" s="227">
        <v>4.0</v>
      </c>
      <c r="C6" s="226">
        <f t="shared" ref="C6:J6" si="13">ROUND(AVERAGE($B6/(1.0278-0.0278*C$2),$B6*C$2^0.1),1)</f>
        <v>4.2</v>
      </c>
      <c r="D6" s="226">
        <f t="shared" si="13"/>
        <v>4.3</v>
      </c>
      <c r="E6" s="226">
        <f t="shared" si="13"/>
        <v>4.5</v>
      </c>
      <c r="F6" s="227">
        <f t="shared" si="13"/>
        <v>4.6</v>
      </c>
      <c r="G6" s="226">
        <f t="shared" si="13"/>
        <v>4.7</v>
      </c>
      <c r="H6" s="226">
        <f t="shared" si="13"/>
        <v>4.8</v>
      </c>
      <c r="I6" s="227">
        <f t="shared" si="13"/>
        <v>4.9</v>
      </c>
      <c r="J6" s="226">
        <f t="shared" si="13"/>
        <v>5.1</v>
      </c>
      <c r="K6" s="227">
        <f t="shared" ref="K6:U6" si="14">ROUND(AVERAGE($B6*(1+0.0333*K$2),$B6*K$2^0.1),1)</f>
        <v>5.2</v>
      </c>
      <c r="L6" s="226">
        <f t="shared" si="14"/>
        <v>5.3</v>
      </c>
      <c r="M6" s="227">
        <f t="shared" si="14"/>
        <v>5.4</v>
      </c>
      <c r="N6" s="226">
        <f t="shared" si="14"/>
        <v>5.5</v>
      </c>
      <c r="O6" s="226">
        <f t="shared" si="14"/>
        <v>5.5</v>
      </c>
      <c r="P6" s="227">
        <f t="shared" si="14"/>
        <v>5.6</v>
      </c>
      <c r="Q6" s="226">
        <f t="shared" si="14"/>
        <v>5.7</v>
      </c>
      <c r="R6" s="226">
        <f t="shared" si="14"/>
        <v>5.8</v>
      </c>
      <c r="S6" s="227">
        <f t="shared" si="14"/>
        <v>5.9</v>
      </c>
      <c r="T6" s="226">
        <f t="shared" si="14"/>
        <v>6</v>
      </c>
      <c r="U6" s="226">
        <f t="shared" si="14"/>
        <v>6</v>
      </c>
      <c r="V6" s="2"/>
      <c r="W6" s="227">
        <v>43.0</v>
      </c>
      <c r="X6" s="226">
        <f t="shared" ref="X6:AE6" si="15">ROUND(AVERAGE($W6/(1.0278-0.0278*X$2),$W6*X$2^0.1),1)</f>
        <v>45.2</v>
      </c>
      <c r="Y6" s="226">
        <f t="shared" si="15"/>
        <v>46.8</v>
      </c>
      <c r="Z6" s="226">
        <f t="shared" si="15"/>
        <v>48.2</v>
      </c>
      <c r="AA6" s="227">
        <f t="shared" si="15"/>
        <v>49.4</v>
      </c>
      <c r="AB6" s="226">
        <f t="shared" si="15"/>
        <v>50.7</v>
      </c>
      <c r="AC6" s="226">
        <f t="shared" si="15"/>
        <v>51.9</v>
      </c>
      <c r="AD6" s="227">
        <f t="shared" si="15"/>
        <v>53.2</v>
      </c>
      <c r="AE6" s="226">
        <f t="shared" si="15"/>
        <v>54.4</v>
      </c>
      <c r="AF6" s="227">
        <f t="shared" ref="AF6:AP6" si="16">ROUND(AVERAGE($W6*(1+0.0333*K$2),$W6*K$2^0.1),1)</f>
        <v>55.7</v>
      </c>
      <c r="AG6" s="226">
        <f t="shared" si="16"/>
        <v>56.7</v>
      </c>
      <c r="AH6" s="227">
        <f t="shared" si="16"/>
        <v>57.7</v>
      </c>
      <c r="AI6" s="226">
        <f t="shared" si="16"/>
        <v>58.6</v>
      </c>
      <c r="AJ6" s="226">
        <f t="shared" si="16"/>
        <v>59.5</v>
      </c>
      <c r="AK6" s="227">
        <f t="shared" si="16"/>
        <v>60.4</v>
      </c>
      <c r="AL6" s="226">
        <f t="shared" si="16"/>
        <v>61.3</v>
      </c>
      <c r="AM6" s="226">
        <f t="shared" si="16"/>
        <v>62.2</v>
      </c>
      <c r="AN6" s="227">
        <f t="shared" si="16"/>
        <v>63.1</v>
      </c>
      <c r="AO6" s="226">
        <f t="shared" si="16"/>
        <v>64</v>
      </c>
      <c r="AP6" s="226">
        <f t="shared" si="16"/>
        <v>64.8</v>
      </c>
    </row>
    <row r="7" ht="14.25" customHeight="1">
      <c r="A7" s="8" t="s">
        <v>226</v>
      </c>
      <c r="B7" s="227">
        <v>5.0</v>
      </c>
      <c r="C7" s="226">
        <f t="shared" ref="C7:J7" si="17">ROUND(AVERAGE($B7/(1.0278-0.0278*C$2),$B7*C$2^0.1),1)</f>
        <v>5.3</v>
      </c>
      <c r="D7" s="226">
        <f t="shared" si="17"/>
        <v>5.4</v>
      </c>
      <c r="E7" s="226">
        <f t="shared" si="17"/>
        <v>5.6</v>
      </c>
      <c r="F7" s="227">
        <f t="shared" si="17"/>
        <v>5.7</v>
      </c>
      <c r="G7" s="226">
        <f t="shared" si="17"/>
        <v>5.9</v>
      </c>
      <c r="H7" s="226">
        <f t="shared" si="17"/>
        <v>6</v>
      </c>
      <c r="I7" s="227">
        <f t="shared" si="17"/>
        <v>6.2</v>
      </c>
      <c r="J7" s="226">
        <f t="shared" si="17"/>
        <v>6.3</v>
      </c>
      <c r="K7" s="227">
        <f t="shared" ref="K7:U7" si="18">ROUND(AVERAGE($B7*(1+0.0333*K$2),$B7*K$2^0.1),1)</f>
        <v>6.5</v>
      </c>
      <c r="L7" s="226">
        <f t="shared" si="18"/>
        <v>6.6</v>
      </c>
      <c r="M7" s="227">
        <f t="shared" si="18"/>
        <v>6.7</v>
      </c>
      <c r="N7" s="226">
        <f t="shared" si="18"/>
        <v>6.8</v>
      </c>
      <c r="O7" s="226">
        <f t="shared" si="18"/>
        <v>6.9</v>
      </c>
      <c r="P7" s="227">
        <f t="shared" si="18"/>
        <v>7</v>
      </c>
      <c r="Q7" s="226">
        <f t="shared" si="18"/>
        <v>7.1</v>
      </c>
      <c r="R7" s="226">
        <f t="shared" si="18"/>
        <v>7.2</v>
      </c>
      <c r="S7" s="227">
        <f t="shared" si="18"/>
        <v>7.3</v>
      </c>
      <c r="T7" s="226">
        <f t="shared" si="18"/>
        <v>7.4</v>
      </c>
      <c r="U7" s="226">
        <f t="shared" si="18"/>
        <v>7.5</v>
      </c>
      <c r="V7" s="2"/>
      <c r="W7" s="227">
        <v>44.0</v>
      </c>
      <c r="X7" s="226">
        <f t="shared" ref="X7:AE7" si="19">ROUND(AVERAGE($W7/(1.0278-0.0278*X$2),$W7*X$2^0.1),1)</f>
        <v>46.2</v>
      </c>
      <c r="Y7" s="226">
        <f t="shared" si="19"/>
        <v>47.8</v>
      </c>
      <c r="Z7" s="226">
        <f t="shared" si="19"/>
        <v>49.3</v>
      </c>
      <c r="AA7" s="227">
        <f t="shared" si="19"/>
        <v>50.6</v>
      </c>
      <c r="AB7" s="226">
        <f t="shared" si="19"/>
        <v>51.9</v>
      </c>
      <c r="AC7" s="226">
        <f t="shared" si="19"/>
        <v>53.1</v>
      </c>
      <c r="AD7" s="227">
        <f t="shared" si="19"/>
        <v>54.4</v>
      </c>
      <c r="AE7" s="226">
        <f t="shared" si="19"/>
        <v>55.7</v>
      </c>
      <c r="AF7" s="227">
        <f t="shared" ref="AF7:AP7" si="20">ROUND(AVERAGE($W7*(1+0.0333*K$2),$W7*K$2^0.1),1)</f>
        <v>57</v>
      </c>
      <c r="AG7" s="226">
        <f t="shared" si="20"/>
        <v>58</v>
      </c>
      <c r="AH7" s="227">
        <f t="shared" si="20"/>
        <v>59</v>
      </c>
      <c r="AI7" s="226">
        <f t="shared" si="20"/>
        <v>60</v>
      </c>
      <c r="AJ7" s="226">
        <f t="shared" si="20"/>
        <v>60.9</v>
      </c>
      <c r="AK7" s="227">
        <f t="shared" si="20"/>
        <v>61.8</v>
      </c>
      <c r="AL7" s="226">
        <f t="shared" si="20"/>
        <v>62.8</v>
      </c>
      <c r="AM7" s="226">
        <f t="shared" si="20"/>
        <v>63.7</v>
      </c>
      <c r="AN7" s="227">
        <f t="shared" si="20"/>
        <v>64.6</v>
      </c>
      <c r="AO7" s="226">
        <f t="shared" si="20"/>
        <v>65.5</v>
      </c>
      <c r="AP7" s="226">
        <f t="shared" si="20"/>
        <v>66.3</v>
      </c>
    </row>
    <row r="8" ht="14.25" customHeight="1">
      <c r="A8" s="2"/>
      <c r="B8" s="227">
        <v>6.0</v>
      </c>
      <c r="C8" s="226">
        <f t="shared" ref="C8:J8" si="21">ROUND(AVERAGE($B8/(1.0278-0.0278*C$2),$B8*C$2^0.1),1)</f>
        <v>6.3</v>
      </c>
      <c r="D8" s="226">
        <f t="shared" si="21"/>
        <v>6.5</v>
      </c>
      <c r="E8" s="226">
        <f t="shared" si="21"/>
        <v>6.7</v>
      </c>
      <c r="F8" s="227">
        <f t="shared" si="21"/>
        <v>6.9</v>
      </c>
      <c r="G8" s="226">
        <f t="shared" si="21"/>
        <v>7.1</v>
      </c>
      <c r="H8" s="226">
        <f t="shared" si="21"/>
        <v>7.2</v>
      </c>
      <c r="I8" s="227">
        <f t="shared" si="21"/>
        <v>7.4</v>
      </c>
      <c r="J8" s="226">
        <f t="shared" si="21"/>
        <v>7.6</v>
      </c>
      <c r="K8" s="227">
        <f t="shared" ref="K8:U8" si="22">ROUND(AVERAGE($B8*(1+0.0333*K$2),$B8*K$2^0.1),1)</f>
        <v>7.8</v>
      </c>
      <c r="L8" s="226">
        <f t="shared" si="22"/>
        <v>7.9</v>
      </c>
      <c r="M8" s="227">
        <f t="shared" si="22"/>
        <v>8</v>
      </c>
      <c r="N8" s="226">
        <f t="shared" si="22"/>
        <v>8.2</v>
      </c>
      <c r="O8" s="226">
        <f t="shared" si="22"/>
        <v>8.3</v>
      </c>
      <c r="P8" s="227">
        <f t="shared" si="22"/>
        <v>8.4</v>
      </c>
      <c r="Q8" s="226">
        <f t="shared" si="22"/>
        <v>8.6</v>
      </c>
      <c r="R8" s="226">
        <f t="shared" si="22"/>
        <v>8.7</v>
      </c>
      <c r="S8" s="227">
        <f t="shared" si="22"/>
        <v>8.8</v>
      </c>
      <c r="T8" s="226">
        <f t="shared" si="22"/>
        <v>8.9</v>
      </c>
      <c r="U8" s="226">
        <f t="shared" si="22"/>
        <v>9</v>
      </c>
      <c r="V8" s="2"/>
      <c r="W8" s="227">
        <v>45.0</v>
      </c>
      <c r="X8" s="226">
        <f t="shared" ref="X8:AE8" si="23">ROUND(AVERAGE($W8/(1.0278-0.0278*X$2),$W8*X$2^0.1),1)</f>
        <v>47.3</v>
      </c>
      <c r="Y8" s="226">
        <f t="shared" si="23"/>
        <v>48.9</v>
      </c>
      <c r="Z8" s="226">
        <f t="shared" si="23"/>
        <v>50.4</v>
      </c>
      <c r="AA8" s="227">
        <f t="shared" si="23"/>
        <v>51.7</v>
      </c>
      <c r="AB8" s="226">
        <f t="shared" si="23"/>
        <v>53</v>
      </c>
      <c r="AC8" s="226">
        <f t="shared" si="23"/>
        <v>54.3</v>
      </c>
      <c r="AD8" s="227">
        <f t="shared" si="23"/>
        <v>55.6</v>
      </c>
      <c r="AE8" s="226">
        <f t="shared" si="23"/>
        <v>57</v>
      </c>
      <c r="AF8" s="227">
        <f t="shared" ref="AF8:AP8" si="24">ROUND(AVERAGE($W8*(1+0.0333*K$2),$W8*K$2^0.1),1)</f>
        <v>58.3</v>
      </c>
      <c r="AG8" s="226">
        <f t="shared" si="24"/>
        <v>59.3</v>
      </c>
      <c r="AH8" s="227">
        <f t="shared" si="24"/>
        <v>60.3</v>
      </c>
      <c r="AI8" s="226">
        <f t="shared" si="24"/>
        <v>61.3</v>
      </c>
      <c r="AJ8" s="226">
        <f t="shared" si="24"/>
        <v>62.3</v>
      </c>
      <c r="AK8" s="227">
        <f t="shared" si="24"/>
        <v>63.2</v>
      </c>
      <c r="AL8" s="226">
        <f t="shared" si="24"/>
        <v>64.2</v>
      </c>
      <c r="AM8" s="226">
        <f t="shared" si="24"/>
        <v>65.1</v>
      </c>
      <c r="AN8" s="227">
        <f t="shared" si="24"/>
        <v>66</v>
      </c>
      <c r="AO8" s="226">
        <f t="shared" si="24"/>
        <v>66.9</v>
      </c>
      <c r="AP8" s="226">
        <f t="shared" si="24"/>
        <v>67.8</v>
      </c>
    </row>
    <row r="9" ht="14.25" customHeight="1">
      <c r="A9" s="2"/>
      <c r="B9" s="227">
        <v>7.0</v>
      </c>
      <c r="C9" s="226">
        <f t="shared" ref="C9:J9" si="25">ROUND(AVERAGE($B9/(1.0278-0.0278*C$2),$B9*C$2^0.1),1)</f>
        <v>7.4</v>
      </c>
      <c r="D9" s="226">
        <f t="shared" si="25"/>
        <v>7.6</v>
      </c>
      <c r="E9" s="226">
        <f t="shared" si="25"/>
        <v>7.8</v>
      </c>
      <c r="F9" s="227">
        <f t="shared" si="25"/>
        <v>8</v>
      </c>
      <c r="G9" s="226">
        <f t="shared" si="25"/>
        <v>8.3</v>
      </c>
      <c r="H9" s="226">
        <f t="shared" si="25"/>
        <v>8.5</v>
      </c>
      <c r="I9" s="227">
        <f t="shared" si="25"/>
        <v>8.7</v>
      </c>
      <c r="J9" s="226">
        <f t="shared" si="25"/>
        <v>8.9</v>
      </c>
      <c r="K9" s="227">
        <f t="shared" ref="K9:U9" si="26">ROUND(AVERAGE($B9*(1+0.0333*K$2),$B9*K$2^0.1),1)</f>
        <v>9.1</v>
      </c>
      <c r="L9" s="226">
        <f t="shared" si="26"/>
        <v>9.2</v>
      </c>
      <c r="M9" s="227">
        <f t="shared" si="26"/>
        <v>9.4</v>
      </c>
      <c r="N9" s="226">
        <f t="shared" si="26"/>
        <v>9.5</v>
      </c>
      <c r="O9" s="226">
        <f t="shared" si="26"/>
        <v>9.7</v>
      </c>
      <c r="P9" s="227">
        <f t="shared" si="26"/>
        <v>9.8</v>
      </c>
      <c r="Q9" s="226">
        <f t="shared" si="26"/>
        <v>10</v>
      </c>
      <c r="R9" s="226">
        <f t="shared" si="26"/>
        <v>10.1</v>
      </c>
      <c r="S9" s="227">
        <f t="shared" si="26"/>
        <v>10.3</v>
      </c>
      <c r="T9" s="226">
        <f t="shared" si="26"/>
        <v>10.4</v>
      </c>
      <c r="U9" s="226">
        <f t="shared" si="26"/>
        <v>10.6</v>
      </c>
      <c r="V9" s="2"/>
      <c r="W9" s="227">
        <v>46.0</v>
      </c>
      <c r="X9" s="226">
        <f t="shared" ref="X9:AE9" si="27">ROUND(AVERAGE($W9/(1.0278-0.0278*X$2),$W9*X$2^0.1),1)</f>
        <v>48.3</v>
      </c>
      <c r="Y9" s="226">
        <f t="shared" si="27"/>
        <v>50</v>
      </c>
      <c r="Z9" s="226">
        <f t="shared" si="27"/>
        <v>51.5</v>
      </c>
      <c r="AA9" s="227">
        <f t="shared" si="27"/>
        <v>52.9</v>
      </c>
      <c r="AB9" s="226">
        <f t="shared" si="27"/>
        <v>54.2</v>
      </c>
      <c r="AC9" s="226">
        <f t="shared" si="27"/>
        <v>55.5</v>
      </c>
      <c r="AD9" s="227">
        <f t="shared" si="27"/>
        <v>56.9</v>
      </c>
      <c r="AE9" s="226">
        <f t="shared" si="27"/>
        <v>58.2</v>
      </c>
      <c r="AF9" s="227">
        <f t="shared" ref="AF9:AP9" si="28">ROUND(AVERAGE($W9*(1+0.0333*K$2),$W9*K$2^0.1),1)</f>
        <v>59.6</v>
      </c>
      <c r="AG9" s="226">
        <f t="shared" si="28"/>
        <v>60.7</v>
      </c>
      <c r="AH9" s="227">
        <f t="shared" si="28"/>
        <v>61.7</v>
      </c>
      <c r="AI9" s="226">
        <f t="shared" si="28"/>
        <v>62.7</v>
      </c>
      <c r="AJ9" s="226">
        <f t="shared" si="28"/>
        <v>63.7</v>
      </c>
      <c r="AK9" s="227">
        <f t="shared" si="28"/>
        <v>64.6</v>
      </c>
      <c r="AL9" s="226">
        <f t="shared" si="28"/>
        <v>65.6</v>
      </c>
      <c r="AM9" s="226">
        <f t="shared" si="28"/>
        <v>66.6</v>
      </c>
      <c r="AN9" s="227">
        <f t="shared" si="28"/>
        <v>67.5</v>
      </c>
      <c r="AO9" s="226">
        <f t="shared" si="28"/>
        <v>68.4</v>
      </c>
      <c r="AP9" s="226">
        <f t="shared" si="28"/>
        <v>69.4</v>
      </c>
    </row>
    <row r="10" ht="14.25" customHeight="1">
      <c r="A10" s="2"/>
      <c r="B10" s="227">
        <v>8.0</v>
      </c>
      <c r="C10" s="226">
        <f t="shared" ref="C10:J10" si="29">ROUND(AVERAGE($B10/(1.0278-0.0278*C$2),$B10*C$2^0.1),1)</f>
        <v>8.4</v>
      </c>
      <c r="D10" s="226">
        <f t="shared" si="29"/>
        <v>8.7</v>
      </c>
      <c r="E10" s="226">
        <f t="shared" si="29"/>
        <v>9</v>
      </c>
      <c r="F10" s="227">
        <f t="shared" si="29"/>
        <v>9.2</v>
      </c>
      <c r="G10" s="226">
        <f t="shared" si="29"/>
        <v>9.4</v>
      </c>
      <c r="H10" s="226">
        <f t="shared" si="29"/>
        <v>9.7</v>
      </c>
      <c r="I10" s="227">
        <f t="shared" si="29"/>
        <v>9.9</v>
      </c>
      <c r="J10" s="226">
        <f t="shared" si="29"/>
        <v>10.1</v>
      </c>
      <c r="K10" s="227">
        <f t="shared" ref="K10:U10" si="30">ROUND(AVERAGE($B10*(1+0.0333*K$2),$B10*K$2^0.1),1)</f>
        <v>10.4</v>
      </c>
      <c r="L10" s="226">
        <f t="shared" si="30"/>
        <v>10.5</v>
      </c>
      <c r="M10" s="227">
        <f t="shared" si="30"/>
        <v>10.7</v>
      </c>
      <c r="N10" s="226">
        <f t="shared" si="30"/>
        <v>10.9</v>
      </c>
      <c r="O10" s="226">
        <f t="shared" si="30"/>
        <v>11.1</v>
      </c>
      <c r="P10" s="227">
        <f t="shared" si="30"/>
        <v>11.2</v>
      </c>
      <c r="Q10" s="226">
        <f t="shared" si="30"/>
        <v>11.4</v>
      </c>
      <c r="R10" s="226">
        <f t="shared" si="30"/>
        <v>11.6</v>
      </c>
      <c r="S10" s="227">
        <f t="shared" si="30"/>
        <v>11.7</v>
      </c>
      <c r="T10" s="226">
        <f t="shared" si="30"/>
        <v>11.9</v>
      </c>
      <c r="U10" s="226">
        <f t="shared" si="30"/>
        <v>12.1</v>
      </c>
      <c r="V10" s="2"/>
      <c r="W10" s="227">
        <v>47.0</v>
      </c>
      <c r="X10" s="226">
        <f t="shared" ref="X10:AE10" si="31">ROUND(AVERAGE($W10/(1.0278-0.0278*X$2),$W10*X$2^0.1),1)</f>
        <v>49.4</v>
      </c>
      <c r="Y10" s="226">
        <f t="shared" si="31"/>
        <v>51.1</v>
      </c>
      <c r="Z10" s="226">
        <f t="shared" si="31"/>
        <v>52.6</v>
      </c>
      <c r="AA10" s="227">
        <f t="shared" si="31"/>
        <v>54</v>
      </c>
      <c r="AB10" s="226">
        <f t="shared" si="31"/>
        <v>55.4</v>
      </c>
      <c r="AC10" s="226">
        <f t="shared" si="31"/>
        <v>56.8</v>
      </c>
      <c r="AD10" s="227">
        <f t="shared" si="31"/>
        <v>58.1</v>
      </c>
      <c r="AE10" s="226">
        <f t="shared" si="31"/>
        <v>59.5</v>
      </c>
      <c r="AF10" s="227">
        <f t="shared" ref="AF10:AP10" si="32">ROUND(AVERAGE($W10*(1+0.0333*K$2),$W10*K$2^0.1),1)</f>
        <v>60.9</v>
      </c>
      <c r="AG10" s="226">
        <f t="shared" si="32"/>
        <v>62</v>
      </c>
      <c r="AH10" s="227">
        <f t="shared" si="32"/>
        <v>63</v>
      </c>
      <c r="AI10" s="226">
        <f t="shared" si="32"/>
        <v>64</v>
      </c>
      <c r="AJ10" s="226">
        <f t="shared" si="32"/>
        <v>65.1</v>
      </c>
      <c r="AK10" s="227">
        <f t="shared" si="32"/>
        <v>66</v>
      </c>
      <c r="AL10" s="226">
        <f t="shared" si="32"/>
        <v>67</v>
      </c>
      <c r="AM10" s="226">
        <f t="shared" si="32"/>
        <v>68</v>
      </c>
      <c r="AN10" s="227">
        <f t="shared" si="32"/>
        <v>69</v>
      </c>
      <c r="AO10" s="226">
        <f t="shared" si="32"/>
        <v>69.9</v>
      </c>
      <c r="AP10" s="226">
        <f t="shared" si="32"/>
        <v>70.9</v>
      </c>
    </row>
    <row r="11" ht="14.25" customHeight="1">
      <c r="A11" s="2"/>
      <c r="B11" s="227">
        <v>9.0</v>
      </c>
      <c r="C11" s="226">
        <f t="shared" ref="C11:J11" si="33">ROUND(AVERAGE($B11/(1.0278-0.0278*C$2),$B11*C$2^0.1),1)</f>
        <v>9.5</v>
      </c>
      <c r="D11" s="226">
        <f t="shared" si="33"/>
        <v>9.8</v>
      </c>
      <c r="E11" s="226">
        <f t="shared" si="33"/>
        <v>10.1</v>
      </c>
      <c r="F11" s="227">
        <f t="shared" si="33"/>
        <v>10.3</v>
      </c>
      <c r="G11" s="226">
        <f t="shared" si="33"/>
        <v>10.6</v>
      </c>
      <c r="H11" s="226">
        <f t="shared" si="33"/>
        <v>10.9</v>
      </c>
      <c r="I11" s="227">
        <f t="shared" si="33"/>
        <v>11.1</v>
      </c>
      <c r="J11" s="226">
        <f t="shared" si="33"/>
        <v>11.4</v>
      </c>
      <c r="K11" s="227">
        <f t="shared" ref="K11:U11" si="34">ROUND(AVERAGE($B11*(1+0.0333*K$2),$B11*K$2^0.1),1)</f>
        <v>11.7</v>
      </c>
      <c r="L11" s="226">
        <f t="shared" si="34"/>
        <v>11.9</v>
      </c>
      <c r="M11" s="227">
        <f t="shared" si="34"/>
        <v>12.1</v>
      </c>
      <c r="N11" s="226">
        <f t="shared" si="34"/>
        <v>12.3</v>
      </c>
      <c r="O11" s="226">
        <f t="shared" si="34"/>
        <v>12.5</v>
      </c>
      <c r="P11" s="227">
        <f t="shared" si="34"/>
        <v>12.6</v>
      </c>
      <c r="Q11" s="226">
        <f t="shared" si="34"/>
        <v>12.8</v>
      </c>
      <c r="R11" s="226">
        <f t="shared" si="34"/>
        <v>13</v>
      </c>
      <c r="S11" s="227">
        <f t="shared" si="34"/>
        <v>13.2</v>
      </c>
      <c r="T11" s="226">
        <f t="shared" si="34"/>
        <v>13.4</v>
      </c>
      <c r="U11" s="226">
        <f t="shared" si="34"/>
        <v>13.6</v>
      </c>
      <c r="V11" s="2"/>
      <c r="W11" s="227">
        <v>48.0</v>
      </c>
      <c r="X11" s="226">
        <f t="shared" ref="X11:AE11" si="35">ROUND(AVERAGE($W11/(1.0278-0.0278*X$2),$W11*X$2^0.1),1)</f>
        <v>50.4</v>
      </c>
      <c r="Y11" s="226">
        <f t="shared" si="35"/>
        <v>52.2</v>
      </c>
      <c r="Z11" s="226">
        <f t="shared" si="35"/>
        <v>53.8</v>
      </c>
      <c r="AA11" s="227">
        <f t="shared" si="35"/>
        <v>55.2</v>
      </c>
      <c r="AB11" s="226">
        <f t="shared" si="35"/>
        <v>56.6</v>
      </c>
      <c r="AC11" s="226">
        <f t="shared" si="35"/>
        <v>58</v>
      </c>
      <c r="AD11" s="227">
        <f t="shared" si="35"/>
        <v>59.3</v>
      </c>
      <c r="AE11" s="226">
        <f t="shared" si="35"/>
        <v>60.8</v>
      </c>
      <c r="AF11" s="227">
        <f t="shared" ref="AF11:AP11" si="36">ROUND(AVERAGE($W11*(1+0.0333*K$2),$W11*K$2^0.1),1)</f>
        <v>62.2</v>
      </c>
      <c r="AG11" s="226">
        <f t="shared" si="36"/>
        <v>63.3</v>
      </c>
      <c r="AH11" s="227">
        <f t="shared" si="36"/>
        <v>64.4</v>
      </c>
      <c r="AI11" s="226">
        <f t="shared" si="36"/>
        <v>65.4</v>
      </c>
      <c r="AJ11" s="226">
        <f t="shared" si="36"/>
        <v>66.4</v>
      </c>
      <c r="AK11" s="227">
        <f t="shared" si="36"/>
        <v>67.5</v>
      </c>
      <c r="AL11" s="226">
        <f t="shared" si="36"/>
        <v>68.5</v>
      </c>
      <c r="AM11" s="226">
        <f t="shared" si="36"/>
        <v>69.4</v>
      </c>
      <c r="AN11" s="227">
        <f t="shared" si="36"/>
        <v>70.4</v>
      </c>
      <c r="AO11" s="226">
        <f t="shared" si="36"/>
        <v>71.4</v>
      </c>
      <c r="AP11" s="226">
        <f t="shared" si="36"/>
        <v>72.4</v>
      </c>
    </row>
    <row r="12" ht="14.25" customHeight="1">
      <c r="A12" s="2"/>
      <c r="B12" s="227">
        <v>10.0</v>
      </c>
      <c r="C12" s="226">
        <f t="shared" ref="C12:J12" si="37">ROUND(AVERAGE($B12/(1.0278-0.0278*C$2),$B12*C$2^0.1),1)</f>
        <v>10.5</v>
      </c>
      <c r="D12" s="226">
        <f t="shared" si="37"/>
        <v>10.9</v>
      </c>
      <c r="E12" s="226">
        <f t="shared" si="37"/>
        <v>11.2</v>
      </c>
      <c r="F12" s="227">
        <f t="shared" si="37"/>
        <v>11.5</v>
      </c>
      <c r="G12" s="226">
        <f t="shared" si="37"/>
        <v>11.8</v>
      </c>
      <c r="H12" s="226">
        <f t="shared" si="37"/>
        <v>12.1</v>
      </c>
      <c r="I12" s="227">
        <f t="shared" si="37"/>
        <v>12.4</v>
      </c>
      <c r="J12" s="226">
        <f t="shared" si="37"/>
        <v>12.7</v>
      </c>
      <c r="K12" s="227">
        <f t="shared" ref="K12:U12" si="38">ROUND(AVERAGE($B12*(1+0.0333*K$2),$B12*K$2^0.1),1)</f>
        <v>13</v>
      </c>
      <c r="L12" s="226">
        <f t="shared" si="38"/>
        <v>13.2</v>
      </c>
      <c r="M12" s="227">
        <f t="shared" si="38"/>
        <v>13.4</v>
      </c>
      <c r="N12" s="226">
        <f t="shared" si="38"/>
        <v>13.6</v>
      </c>
      <c r="O12" s="226">
        <f t="shared" si="38"/>
        <v>13.8</v>
      </c>
      <c r="P12" s="227">
        <f t="shared" si="38"/>
        <v>14.1</v>
      </c>
      <c r="Q12" s="226">
        <f t="shared" si="38"/>
        <v>14.3</v>
      </c>
      <c r="R12" s="226">
        <f t="shared" si="38"/>
        <v>14.5</v>
      </c>
      <c r="S12" s="227">
        <f t="shared" si="38"/>
        <v>14.7</v>
      </c>
      <c r="T12" s="226">
        <f t="shared" si="38"/>
        <v>14.9</v>
      </c>
      <c r="U12" s="226">
        <f t="shared" si="38"/>
        <v>15.1</v>
      </c>
      <c r="V12" s="2"/>
      <c r="W12" s="227">
        <v>49.0</v>
      </c>
      <c r="X12" s="226">
        <f t="shared" ref="X12:AE12" si="39">ROUND(AVERAGE($W12/(1.0278-0.0278*X$2),$W12*X$2^0.1),1)</f>
        <v>51.5</v>
      </c>
      <c r="Y12" s="226">
        <f t="shared" si="39"/>
        <v>53.3</v>
      </c>
      <c r="Z12" s="226">
        <f t="shared" si="39"/>
        <v>54.9</v>
      </c>
      <c r="AA12" s="227">
        <f t="shared" si="39"/>
        <v>56.3</v>
      </c>
      <c r="AB12" s="226">
        <f t="shared" si="39"/>
        <v>57.8</v>
      </c>
      <c r="AC12" s="226">
        <f t="shared" si="39"/>
        <v>59.2</v>
      </c>
      <c r="AD12" s="227">
        <f t="shared" si="39"/>
        <v>60.6</v>
      </c>
      <c r="AE12" s="226">
        <f t="shared" si="39"/>
        <v>62</v>
      </c>
      <c r="AF12" s="227">
        <f t="shared" ref="AF12:AP12" si="40">ROUND(AVERAGE($W12*(1+0.0333*K$2),$W12*K$2^0.1),1)</f>
        <v>63.5</v>
      </c>
      <c r="AG12" s="226">
        <f t="shared" si="40"/>
        <v>64.6</v>
      </c>
      <c r="AH12" s="227">
        <f t="shared" si="40"/>
        <v>65.7</v>
      </c>
      <c r="AI12" s="226">
        <f t="shared" si="40"/>
        <v>66.8</v>
      </c>
      <c r="AJ12" s="226">
        <f t="shared" si="40"/>
        <v>67.8</v>
      </c>
      <c r="AK12" s="227">
        <f t="shared" si="40"/>
        <v>68.9</v>
      </c>
      <c r="AL12" s="226">
        <f t="shared" si="40"/>
        <v>69.9</v>
      </c>
      <c r="AM12" s="226">
        <f t="shared" si="40"/>
        <v>70.9</v>
      </c>
      <c r="AN12" s="227">
        <f t="shared" si="40"/>
        <v>71.9</v>
      </c>
      <c r="AO12" s="226">
        <f t="shared" si="40"/>
        <v>72.9</v>
      </c>
      <c r="AP12" s="226">
        <f t="shared" si="40"/>
        <v>73.9</v>
      </c>
    </row>
    <row r="13" ht="14.25" customHeight="1">
      <c r="A13" s="2"/>
      <c r="B13" s="227">
        <v>11.0</v>
      </c>
      <c r="C13" s="226">
        <f t="shared" ref="C13:J13" si="41">ROUND(AVERAGE($B13/(1.0278-0.0278*C$2),$B13*C$2^0.1),1)</f>
        <v>11.6</v>
      </c>
      <c r="D13" s="226">
        <f t="shared" si="41"/>
        <v>12</v>
      </c>
      <c r="E13" s="226">
        <f t="shared" si="41"/>
        <v>12.3</v>
      </c>
      <c r="F13" s="227">
        <f t="shared" si="41"/>
        <v>12.6</v>
      </c>
      <c r="G13" s="226">
        <f t="shared" si="41"/>
        <v>13</v>
      </c>
      <c r="H13" s="226">
        <f t="shared" si="41"/>
        <v>13.3</v>
      </c>
      <c r="I13" s="227">
        <f t="shared" si="41"/>
        <v>13.6</v>
      </c>
      <c r="J13" s="226">
        <f t="shared" si="41"/>
        <v>13.9</v>
      </c>
      <c r="K13" s="227">
        <f t="shared" ref="K13:U13" si="42">ROUND(AVERAGE($B13*(1+0.0333*K$2),$B13*K$2^0.1),1)</f>
        <v>14.3</v>
      </c>
      <c r="L13" s="226">
        <f t="shared" si="42"/>
        <v>14.5</v>
      </c>
      <c r="M13" s="227">
        <f t="shared" si="42"/>
        <v>14.7</v>
      </c>
      <c r="N13" s="226">
        <f t="shared" si="42"/>
        <v>15</v>
      </c>
      <c r="O13" s="226">
        <f t="shared" si="42"/>
        <v>15.2</v>
      </c>
      <c r="P13" s="227">
        <f t="shared" si="42"/>
        <v>15.5</v>
      </c>
      <c r="Q13" s="226">
        <f t="shared" si="42"/>
        <v>15.7</v>
      </c>
      <c r="R13" s="226">
        <f t="shared" si="42"/>
        <v>15.9</v>
      </c>
      <c r="S13" s="227">
        <f t="shared" si="42"/>
        <v>16.1</v>
      </c>
      <c r="T13" s="226">
        <f t="shared" si="42"/>
        <v>16.4</v>
      </c>
      <c r="U13" s="226">
        <f t="shared" si="42"/>
        <v>16.6</v>
      </c>
      <c r="V13" s="2"/>
      <c r="W13" s="227">
        <v>50.0</v>
      </c>
      <c r="X13" s="226">
        <f t="shared" ref="X13:AE13" si="43">ROUND(AVERAGE($W13/(1.0278-0.0278*X$2),$W13*X$2^0.1),1)</f>
        <v>52.5</v>
      </c>
      <c r="Y13" s="226">
        <f t="shared" si="43"/>
        <v>54.4</v>
      </c>
      <c r="Z13" s="226">
        <f t="shared" si="43"/>
        <v>56</v>
      </c>
      <c r="AA13" s="227">
        <f t="shared" si="43"/>
        <v>57.5</v>
      </c>
      <c r="AB13" s="226">
        <f t="shared" si="43"/>
        <v>58.9</v>
      </c>
      <c r="AC13" s="226">
        <f t="shared" si="43"/>
        <v>60.4</v>
      </c>
      <c r="AD13" s="227">
        <f t="shared" si="43"/>
        <v>61.8</v>
      </c>
      <c r="AE13" s="226">
        <f t="shared" si="43"/>
        <v>63.3</v>
      </c>
      <c r="AF13" s="227">
        <f t="shared" ref="AF13:AP13" si="44">ROUND(AVERAGE($W13*(1+0.0333*K$2),$W13*K$2^0.1),1)</f>
        <v>64.8</v>
      </c>
      <c r="AG13" s="226">
        <f t="shared" si="44"/>
        <v>65.9</v>
      </c>
      <c r="AH13" s="227">
        <f t="shared" si="44"/>
        <v>67</v>
      </c>
      <c r="AI13" s="226">
        <f t="shared" si="44"/>
        <v>68.1</v>
      </c>
      <c r="AJ13" s="226">
        <f t="shared" si="44"/>
        <v>69.2</v>
      </c>
      <c r="AK13" s="227">
        <f t="shared" si="44"/>
        <v>70.3</v>
      </c>
      <c r="AL13" s="226">
        <f t="shared" si="44"/>
        <v>71.3</v>
      </c>
      <c r="AM13" s="226">
        <f t="shared" si="44"/>
        <v>72.3</v>
      </c>
      <c r="AN13" s="227">
        <f t="shared" si="44"/>
        <v>73.4</v>
      </c>
      <c r="AO13" s="226">
        <f t="shared" si="44"/>
        <v>74.4</v>
      </c>
      <c r="AP13" s="226">
        <f t="shared" si="44"/>
        <v>75.4</v>
      </c>
    </row>
    <row r="14" ht="14.25" customHeight="1">
      <c r="A14" s="2"/>
      <c r="B14" s="227">
        <v>12.0</v>
      </c>
      <c r="C14" s="226">
        <f t="shared" ref="C14:J14" si="45">ROUND(AVERAGE($B14/(1.0278-0.0278*C$2),$B14*C$2^0.1),1)</f>
        <v>12.6</v>
      </c>
      <c r="D14" s="226">
        <f t="shared" si="45"/>
        <v>13</v>
      </c>
      <c r="E14" s="226">
        <f t="shared" si="45"/>
        <v>13.4</v>
      </c>
      <c r="F14" s="227">
        <f t="shared" si="45"/>
        <v>13.8</v>
      </c>
      <c r="G14" s="226">
        <f t="shared" si="45"/>
        <v>14.1</v>
      </c>
      <c r="H14" s="226">
        <f t="shared" si="45"/>
        <v>14.5</v>
      </c>
      <c r="I14" s="227">
        <f t="shared" si="45"/>
        <v>14.8</v>
      </c>
      <c r="J14" s="226">
        <f t="shared" si="45"/>
        <v>15.2</v>
      </c>
      <c r="K14" s="227">
        <f t="shared" ref="K14:U14" si="46">ROUND(AVERAGE($B14*(1+0.0333*K$2),$B14*K$2^0.1),1)</f>
        <v>15.6</v>
      </c>
      <c r="L14" s="226">
        <f t="shared" si="46"/>
        <v>15.8</v>
      </c>
      <c r="M14" s="227">
        <f t="shared" si="46"/>
        <v>16.1</v>
      </c>
      <c r="N14" s="226">
        <f t="shared" si="46"/>
        <v>16.4</v>
      </c>
      <c r="O14" s="226">
        <f t="shared" si="46"/>
        <v>16.6</v>
      </c>
      <c r="P14" s="227">
        <f t="shared" si="46"/>
        <v>16.9</v>
      </c>
      <c r="Q14" s="226">
        <f t="shared" si="46"/>
        <v>17.1</v>
      </c>
      <c r="R14" s="226">
        <f t="shared" si="46"/>
        <v>17.4</v>
      </c>
      <c r="S14" s="227">
        <f t="shared" si="46"/>
        <v>17.6</v>
      </c>
      <c r="T14" s="226">
        <f t="shared" si="46"/>
        <v>17.9</v>
      </c>
      <c r="U14" s="226">
        <f t="shared" si="46"/>
        <v>18.1</v>
      </c>
      <c r="V14" s="2"/>
      <c r="W14" s="227">
        <v>51.0</v>
      </c>
      <c r="X14" s="226">
        <f t="shared" ref="X14:AE14" si="47">ROUND(AVERAGE($W14/(1.0278-0.0278*X$2),$W14*X$2^0.1),1)</f>
        <v>53.6</v>
      </c>
      <c r="Y14" s="226">
        <f t="shared" si="47"/>
        <v>55.5</v>
      </c>
      <c r="Z14" s="226">
        <f t="shared" si="47"/>
        <v>57.1</v>
      </c>
      <c r="AA14" s="227">
        <f t="shared" si="47"/>
        <v>58.6</v>
      </c>
      <c r="AB14" s="226">
        <f t="shared" si="47"/>
        <v>60.1</v>
      </c>
      <c r="AC14" s="226">
        <f t="shared" si="47"/>
        <v>61.6</v>
      </c>
      <c r="AD14" s="227">
        <f t="shared" si="47"/>
        <v>63.1</v>
      </c>
      <c r="AE14" s="226">
        <f t="shared" si="47"/>
        <v>64.6</v>
      </c>
      <c r="AF14" s="227">
        <f t="shared" ref="AF14:AP14" si="48">ROUND(AVERAGE($W14*(1+0.0333*K$2),$W14*K$2^0.1),1)</f>
        <v>66.1</v>
      </c>
      <c r="AG14" s="226">
        <f t="shared" si="48"/>
        <v>67.3</v>
      </c>
      <c r="AH14" s="227">
        <f t="shared" si="48"/>
        <v>68.4</v>
      </c>
      <c r="AI14" s="226">
        <f t="shared" si="48"/>
        <v>69.5</v>
      </c>
      <c r="AJ14" s="226">
        <f t="shared" si="48"/>
        <v>70.6</v>
      </c>
      <c r="AK14" s="227">
        <f t="shared" si="48"/>
        <v>71.7</v>
      </c>
      <c r="AL14" s="226">
        <f t="shared" si="48"/>
        <v>72.7</v>
      </c>
      <c r="AM14" s="226">
        <f t="shared" si="48"/>
        <v>73.8</v>
      </c>
      <c r="AN14" s="227">
        <f t="shared" si="48"/>
        <v>74.8</v>
      </c>
      <c r="AO14" s="226">
        <f t="shared" si="48"/>
        <v>75.9</v>
      </c>
      <c r="AP14" s="226">
        <f t="shared" si="48"/>
        <v>76.9</v>
      </c>
    </row>
    <row r="15" ht="14.25" customHeight="1">
      <c r="A15" s="2"/>
      <c r="B15" s="227">
        <v>13.0</v>
      </c>
      <c r="C15" s="226">
        <f t="shared" ref="C15:J15" si="49">ROUND(AVERAGE($B15/(1.0278-0.0278*C$2),$B15*C$2^0.1),1)</f>
        <v>13.7</v>
      </c>
      <c r="D15" s="226">
        <f t="shared" si="49"/>
        <v>14.1</v>
      </c>
      <c r="E15" s="226">
        <f t="shared" si="49"/>
        <v>14.6</v>
      </c>
      <c r="F15" s="227">
        <f t="shared" si="49"/>
        <v>14.9</v>
      </c>
      <c r="G15" s="226">
        <f t="shared" si="49"/>
        <v>15.3</v>
      </c>
      <c r="H15" s="226">
        <f t="shared" si="49"/>
        <v>15.7</v>
      </c>
      <c r="I15" s="227">
        <f t="shared" si="49"/>
        <v>16.1</v>
      </c>
      <c r="J15" s="226">
        <f t="shared" si="49"/>
        <v>16.5</v>
      </c>
      <c r="K15" s="227">
        <f t="shared" ref="K15:U15" si="50">ROUND(AVERAGE($B15*(1+0.0333*K$2),$B15*K$2^0.1),1)</f>
        <v>16.8</v>
      </c>
      <c r="L15" s="226">
        <f t="shared" si="50"/>
        <v>17.1</v>
      </c>
      <c r="M15" s="227">
        <f t="shared" si="50"/>
        <v>17.4</v>
      </c>
      <c r="N15" s="226">
        <f t="shared" si="50"/>
        <v>17.7</v>
      </c>
      <c r="O15" s="226">
        <f t="shared" si="50"/>
        <v>18</v>
      </c>
      <c r="P15" s="227">
        <f t="shared" si="50"/>
        <v>18.3</v>
      </c>
      <c r="Q15" s="226">
        <f t="shared" si="50"/>
        <v>18.5</v>
      </c>
      <c r="R15" s="226">
        <f t="shared" si="50"/>
        <v>18.8</v>
      </c>
      <c r="S15" s="227">
        <f t="shared" si="50"/>
        <v>19.1</v>
      </c>
      <c r="T15" s="226">
        <f t="shared" si="50"/>
        <v>19.3</v>
      </c>
      <c r="U15" s="226">
        <f t="shared" si="50"/>
        <v>19.6</v>
      </c>
      <c r="V15" s="2"/>
      <c r="W15" s="227">
        <v>52.0</v>
      </c>
      <c r="X15" s="226">
        <f t="shared" ref="X15:AE15" si="51">ROUND(AVERAGE($W15/(1.0278-0.0278*X$2),$W15*X$2^0.1),1)</f>
        <v>54.6</v>
      </c>
      <c r="Y15" s="226">
        <f t="shared" si="51"/>
        <v>56.5</v>
      </c>
      <c r="Z15" s="226">
        <f t="shared" si="51"/>
        <v>58.2</v>
      </c>
      <c r="AA15" s="227">
        <f t="shared" si="51"/>
        <v>59.8</v>
      </c>
      <c r="AB15" s="226">
        <f t="shared" si="51"/>
        <v>61.3</v>
      </c>
      <c r="AC15" s="226">
        <f t="shared" si="51"/>
        <v>62.8</v>
      </c>
      <c r="AD15" s="227">
        <f t="shared" si="51"/>
        <v>64.3</v>
      </c>
      <c r="AE15" s="226">
        <f t="shared" si="51"/>
        <v>65.8</v>
      </c>
      <c r="AF15" s="227">
        <f t="shared" ref="AF15:AP15" si="52">ROUND(AVERAGE($W15*(1+0.0333*K$2),$W15*K$2^0.1),1)</f>
        <v>67.4</v>
      </c>
      <c r="AG15" s="226">
        <f t="shared" si="52"/>
        <v>68.6</v>
      </c>
      <c r="AH15" s="227">
        <f t="shared" si="52"/>
        <v>69.7</v>
      </c>
      <c r="AI15" s="226">
        <f t="shared" si="52"/>
        <v>70.9</v>
      </c>
      <c r="AJ15" s="226">
        <f t="shared" si="52"/>
        <v>72</v>
      </c>
      <c r="AK15" s="227">
        <f t="shared" si="52"/>
        <v>73.1</v>
      </c>
      <c r="AL15" s="226">
        <f t="shared" si="52"/>
        <v>74.2</v>
      </c>
      <c r="AM15" s="226">
        <f t="shared" si="52"/>
        <v>75.2</v>
      </c>
      <c r="AN15" s="227">
        <f t="shared" si="52"/>
        <v>76.3</v>
      </c>
      <c r="AO15" s="226">
        <f t="shared" si="52"/>
        <v>77.4</v>
      </c>
      <c r="AP15" s="226">
        <f t="shared" si="52"/>
        <v>78.4</v>
      </c>
    </row>
    <row r="16" ht="14.25" customHeight="1">
      <c r="A16" s="2"/>
      <c r="B16" s="227">
        <v>14.0</v>
      </c>
      <c r="C16" s="226">
        <f t="shared" ref="C16:J16" si="53">ROUND(AVERAGE($B16/(1.0278-0.0278*C$2),$B16*C$2^0.1),1)</f>
        <v>14.7</v>
      </c>
      <c r="D16" s="226">
        <f t="shared" si="53"/>
        <v>15.2</v>
      </c>
      <c r="E16" s="226">
        <f t="shared" si="53"/>
        <v>15.7</v>
      </c>
      <c r="F16" s="227">
        <f t="shared" si="53"/>
        <v>16.1</v>
      </c>
      <c r="G16" s="226">
        <f t="shared" si="53"/>
        <v>16.5</v>
      </c>
      <c r="H16" s="226">
        <f t="shared" si="53"/>
        <v>16.9</v>
      </c>
      <c r="I16" s="227">
        <f t="shared" si="53"/>
        <v>17.3</v>
      </c>
      <c r="J16" s="226">
        <f t="shared" si="53"/>
        <v>17.7</v>
      </c>
      <c r="K16" s="227">
        <f t="shared" ref="K16:U16" si="54">ROUND(AVERAGE($B16*(1+0.0333*K$2),$B16*K$2^0.1),1)</f>
        <v>18.1</v>
      </c>
      <c r="L16" s="226">
        <f t="shared" si="54"/>
        <v>18.5</v>
      </c>
      <c r="M16" s="227">
        <f t="shared" si="54"/>
        <v>18.8</v>
      </c>
      <c r="N16" s="226">
        <f t="shared" si="54"/>
        <v>19.1</v>
      </c>
      <c r="O16" s="226">
        <f t="shared" si="54"/>
        <v>19.4</v>
      </c>
      <c r="P16" s="227">
        <f t="shared" si="54"/>
        <v>19.7</v>
      </c>
      <c r="Q16" s="226">
        <f t="shared" si="54"/>
        <v>20</v>
      </c>
      <c r="R16" s="226">
        <f t="shared" si="54"/>
        <v>20.3</v>
      </c>
      <c r="S16" s="227">
        <f t="shared" si="54"/>
        <v>20.5</v>
      </c>
      <c r="T16" s="226">
        <f t="shared" si="54"/>
        <v>20.8</v>
      </c>
      <c r="U16" s="226">
        <f t="shared" si="54"/>
        <v>21.1</v>
      </c>
      <c r="V16" s="2"/>
      <c r="W16" s="227">
        <v>53.0</v>
      </c>
      <c r="X16" s="226">
        <f t="shared" ref="X16:AE16" si="55">ROUND(AVERAGE($W16/(1.0278-0.0278*X$2),$W16*X$2^0.1),1)</f>
        <v>55.7</v>
      </c>
      <c r="Y16" s="226">
        <f t="shared" si="55"/>
        <v>57.6</v>
      </c>
      <c r="Z16" s="226">
        <f t="shared" si="55"/>
        <v>59.4</v>
      </c>
      <c r="AA16" s="227">
        <f t="shared" si="55"/>
        <v>60.9</v>
      </c>
      <c r="AB16" s="226">
        <f t="shared" si="55"/>
        <v>62.5</v>
      </c>
      <c r="AC16" s="226">
        <f t="shared" si="55"/>
        <v>64</v>
      </c>
      <c r="AD16" s="227">
        <f t="shared" si="55"/>
        <v>65.5</v>
      </c>
      <c r="AE16" s="226">
        <f t="shared" si="55"/>
        <v>67.1</v>
      </c>
      <c r="AF16" s="227">
        <f t="shared" ref="AF16:AP16" si="56">ROUND(AVERAGE($W16*(1+0.0333*K$2),$W16*K$2^0.1),1)</f>
        <v>68.7</v>
      </c>
      <c r="AG16" s="226">
        <f t="shared" si="56"/>
        <v>69.9</v>
      </c>
      <c r="AH16" s="227">
        <f t="shared" si="56"/>
        <v>71.1</v>
      </c>
      <c r="AI16" s="226">
        <f t="shared" si="56"/>
        <v>72.2</v>
      </c>
      <c r="AJ16" s="226">
        <f t="shared" si="56"/>
        <v>73.4</v>
      </c>
      <c r="AK16" s="227">
        <f t="shared" si="56"/>
        <v>74.5</v>
      </c>
      <c r="AL16" s="226">
        <f t="shared" si="56"/>
        <v>75.6</v>
      </c>
      <c r="AM16" s="226">
        <f t="shared" si="56"/>
        <v>76.7</v>
      </c>
      <c r="AN16" s="227">
        <f t="shared" si="56"/>
        <v>77.8</v>
      </c>
      <c r="AO16" s="226">
        <f t="shared" si="56"/>
        <v>78.8</v>
      </c>
      <c r="AP16" s="226">
        <f t="shared" si="56"/>
        <v>79.9</v>
      </c>
    </row>
    <row r="17" ht="14.25" customHeight="1">
      <c r="A17" s="2"/>
      <c r="B17" s="227">
        <v>15.0</v>
      </c>
      <c r="C17" s="226">
        <f t="shared" ref="C17:J17" si="57">ROUND(AVERAGE($B17/(1.0278-0.0278*C$2),$B17*C$2^0.1),1)</f>
        <v>15.8</v>
      </c>
      <c r="D17" s="226">
        <f t="shared" si="57"/>
        <v>16.3</v>
      </c>
      <c r="E17" s="226">
        <f t="shared" si="57"/>
        <v>16.8</v>
      </c>
      <c r="F17" s="227">
        <f t="shared" si="57"/>
        <v>17.2</v>
      </c>
      <c r="G17" s="226">
        <f t="shared" si="57"/>
        <v>17.7</v>
      </c>
      <c r="H17" s="226">
        <f t="shared" si="57"/>
        <v>18.1</v>
      </c>
      <c r="I17" s="227">
        <f t="shared" si="57"/>
        <v>18.5</v>
      </c>
      <c r="J17" s="226">
        <f t="shared" si="57"/>
        <v>19</v>
      </c>
      <c r="K17" s="227">
        <f t="shared" ref="K17:U17" si="58">ROUND(AVERAGE($B17*(1+0.0333*K$2),$B17*K$2^0.1),1)</f>
        <v>19.4</v>
      </c>
      <c r="L17" s="226">
        <f t="shared" si="58"/>
        <v>19.8</v>
      </c>
      <c r="M17" s="227">
        <f t="shared" si="58"/>
        <v>20.1</v>
      </c>
      <c r="N17" s="226">
        <f t="shared" si="58"/>
        <v>20.4</v>
      </c>
      <c r="O17" s="226">
        <f t="shared" si="58"/>
        <v>20.8</v>
      </c>
      <c r="P17" s="227">
        <f t="shared" si="58"/>
        <v>21.1</v>
      </c>
      <c r="Q17" s="226">
        <f t="shared" si="58"/>
        <v>21.4</v>
      </c>
      <c r="R17" s="226">
        <f t="shared" si="58"/>
        <v>21.7</v>
      </c>
      <c r="S17" s="227">
        <f t="shared" si="58"/>
        <v>22</v>
      </c>
      <c r="T17" s="226">
        <f t="shared" si="58"/>
        <v>22.3</v>
      </c>
      <c r="U17" s="226">
        <f t="shared" si="58"/>
        <v>22.6</v>
      </c>
      <c r="V17" s="2"/>
      <c r="W17" s="227">
        <v>54.0</v>
      </c>
      <c r="X17" s="226">
        <f t="shared" ref="X17:AE17" si="59">ROUND(AVERAGE($W17/(1.0278-0.0278*X$2),$W17*X$2^0.1),1)</f>
        <v>56.7</v>
      </c>
      <c r="Y17" s="226">
        <f t="shared" si="59"/>
        <v>58.7</v>
      </c>
      <c r="Z17" s="226">
        <f t="shared" si="59"/>
        <v>60.5</v>
      </c>
      <c r="AA17" s="227">
        <f t="shared" si="59"/>
        <v>62.1</v>
      </c>
      <c r="AB17" s="226">
        <f t="shared" si="59"/>
        <v>63.7</v>
      </c>
      <c r="AC17" s="226">
        <f t="shared" si="59"/>
        <v>65.2</v>
      </c>
      <c r="AD17" s="227">
        <f t="shared" si="59"/>
        <v>66.8</v>
      </c>
      <c r="AE17" s="226">
        <f t="shared" si="59"/>
        <v>68.4</v>
      </c>
      <c r="AF17" s="227">
        <f t="shared" ref="AF17:AP17" si="60">ROUND(AVERAGE($W17*(1+0.0333*K$2),$W17*K$2^0.1),1)</f>
        <v>70</v>
      </c>
      <c r="AG17" s="226">
        <f t="shared" si="60"/>
        <v>71.2</v>
      </c>
      <c r="AH17" s="227">
        <f t="shared" si="60"/>
        <v>72.4</v>
      </c>
      <c r="AI17" s="226">
        <f t="shared" si="60"/>
        <v>73.6</v>
      </c>
      <c r="AJ17" s="226">
        <f t="shared" si="60"/>
        <v>74.7</v>
      </c>
      <c r="AK17" s="227">
        <f t="shared" si="60"/>
        <v>75.9</v>
      </c>
      <c r="AL17" s="226">
        <f t="shared" si="60"/>
        <v>77</v>
      </c>
      <c r="AM17" s="226">
        <f t="shared" si="60"/>
        <v>78.1</v>
      </c>
      <c r="AN17" s="227">
        <f t="shared" si="60"/>
        <v>79.2</v>
      </c>
      <c r="AO17" s="226">
        <f t="shared" si="60"/>
        <v>80.3</v>
      </c>
      <c r="AP17" s="226">
        <f t="shared" si="60"/>
        <v>81.4</v>
      </c>
    </row>
    <row r="18" ht="14.25" customHeight="1">
      <c r="A18" s="2"/>
      <c r="B18" s="227">
        <v>16.0</v>
      </c>
      <c r="C18" s="226">
        <f t="shared" ref="C18:J18" si="61">ROUND(AVERAGE($B18/(1.0278-0.0278*C$2),$B18*C$2^0.1),1)</f>
        <v>16.8</v>
      </c>
      <c r="D18" s="226">
        <f t="shared" si="61"/>
        <v>17.4</v>
      </c>
      <c r="E18" s="226">
        <f t="shared" si="61"/>
        <v>17.9</v>
      </c>
      <c r="F18" s="227">
        <f t="shared" si="61"/>
        <v>18.4</v>
      </c>
      <c r="G18" s="226">
        <f t="shared" si="61"/>
        <v>18.9</v>
      </c>
      <c r="H18" s="226">
        <f t="shared" si="61"/>
        <v>19.3</v>
      </c>
      <c r="I18" s="227">
        <f t="shared" si="61"/>
        <v>19.8</v>
      </c>
      <c r="J18" s="226">
        <f t="shared" si="61"/>
        <v>20.3</v>
      </c>
      <c r="K18" s="227">
        <f t="shared" ref="K18:U18" si="62">ROUND(AVERAGE($B18*(1+0.0333*K$2),$B18*K$2^0.1),1)</f>
        <v>20.7</v>
      </c>
      <c r="L18" s="226">
        <f t="shared" si="62"/>
        <v>21.1</v>
      </c>
      <c r="M18" s="227">
        <f t="shared" si="62"/>
        <v>21.5</v>
      </c>
      <c r="N18" s="226">
        <f t="shared" si="62"/>
        <v>21.8</v>
      </c>
      <c r="O18" s="226">
        <f t="shared" si="62"/>
        <v>22.1</v>
      </c>
      <c r="P18" s="227">
        <f t="shared" si="62"/>
        <v>22.5</v>
      </c>
      <c r="Q18" s="226">
        <f t="shared" si="62"/>
        <v>22.8</v>
      </c>
      <c r="R18" s="226">
        <f t="shared" si="62"/>
        <v>23.1</v>
      </c>
      <c r="S18" s="227">
        <f t="shared" si="62"/>
        <v>23.5</v>
      </c>
      <c r="T18" s="226">
        <f t="shared" si="62"/>
        <v>23.8</v>
      </c>
      <c r="U18" s="226">
        <f t="shared" si="62"/>
        <v>24.1</v>
      </c>
      <c r="V18" s="2"/>
      <c r="W18" s="227">
        <v>55.0</v>
      </c>
      <c r="X18" s="226">
        <f t="shared" ref="X18:AE18" si="63">ROUND(AVERAGE($W18/(1.0278-0.0278*X$2),$W18*X$2^0.1),1)</f>
        <v>57.8</v>
      </c>
      <c r="Y18" s="226">
        <f t="shared" si="63"/>
        <v>59.8</v>
      </c>
      <c r="Z18" s="226">
        <f t="shared" si="63"/>
        <v>61.6</v>
      </c>
      <c r="AA18" s="227">
        <f t="shared" si="63"/>
        <v>63.2</v>
      </c>
      <c r="AB18" s="226">
        <f t="shared" si="63"/>
        <v>64.8</v>
      </c>
      <c r="AC18" s="226">
        <f t="shared" si="63"/>
        <v>66.4</v>
      </c>
      <c r="AD18" s="227">
        <f t="shared" si="63"/>
        <v>68</v>
      </c>
      <c r="AE18" s="226">
        <f t="shared" si="63"/>
        <v>69.6</v>
      </c>
      <c r="AF18" s="227">
        <f t="shared" ref="AF18:AP18" si="64">ROUND(AVERAGE($W18*(1+0.0333*K$2),$W18*K$2^0.1),1)</f>
        <v>71.3</v>
      </c>
      <c r="AG18" s="226">
        <f t="shared" si="64"/>
        <v>72.5</v>
      </c>
      <c r="AH18" s="227">
        <f t="shared" si="64"/>
        <v>73.7</v>
      </c>
      <c r="AI18" s="226">
        <f t="shared" si="64"/>
        <v>74.9</v>
      </c>
      <c r="AJ18" s="226">
        <f t="shared" si="64"/>
        <v>76.1</v>
      </c>
      <c r="AK18" s="227">
        <f t="shared" si="64"/>
        <v>77.3</v>
      </c>
      <c r="AL18" s="226">
        <f t="shared" si="64"/>
        <v>78.4</v>
      </c>
      <c r="AM18" s="226">
        <f t="shared" si="64"/>
        <v>79.6</v>
      </c>
      <c r="AN18" s="227">
        <f t="shared" si="64"/>
        <v>80.7</v>
      </c>
      <c r="AO18" s="226">
        <f t="shared" si="64"/>
        <v>81.8</v>
      </c>
      <c r="AP18" s="226">
        <f t="shared" si="64"/>
        <v>82.9</v>
      </c>
    </row>
    <row r="19" ht="14.25" customHeight="1">
      <c r="A19" s="2"/>
      <c r="B19" s="227">
        <v>17.0</v>
      </c>
      <c r="C19" s="226">
        <f t="shared" ref="C19:J19" si="65">ROUND(AVERAGE($B19/(1.0278-0.0278*C$2),$B19*C$2^0.1),1)</f>
        <v>17.9</v>
      </c>
      <c r="D19" s="226">
        <f t="shared" si="65"/>
        <v>18.5</v>
      </c>
      <c r="E19" s="226">
        <f t="shared" si="65"/>
        <v>19</v>
      </c>
      <c r="F19" s="227">
        <f t="shared" si="65"/>
        <v>19.5</v>
      </c>
      <c r="G19" s="226">
        <f t="shared" si="65"/>
        <v>20</v>
      </c>
      <c r="H19" s="226">
        <f t="shared" si="65"/>
        <v>20.5</v>
      </c>
      <c r="I19" s="227">
        <f t="shared" si="65"/>
        <v>21</v>
      </c>
      <c r="J19" s="226">
        <f t="shared" si="65"/>
        <v>21.5</v>
      </c>
      <c r="K19" s="227">
        <f t="shared" ref="K19:U19" si="66">ROUND(AVERAGE($B19*(1+0.0333*K$2),$B19*K$2^0.1),1)</f>
        <v>22</v>
      </c>
      <c r="L19" s="226">
        <f t="shared" si="66"/>
        <v>22.4</v>
      </c>
      <c r="M19" s="227">
        <f t="shared" si="66"/>
        <v>22.8</v>
      </c>
      <c r="N19" s="226">
        <f t="shared" si="66"/>
        <v>23.2</v>
      </c>
      <c r="O19" s="226">
        <f t="shared" si="66"/>
        <v>23.5</v>
      </c>
      <c r="P19" s="227">
        <f t="shared" si="66"/>
        <v>23.9</v>
      </c>
      <c r="Q19" s="226">
        <f t="shared" si="66"/>
        <v>24.2</v>
      </c>
      <c r="R19" s="226">
        <f t="shared" si="66"/>
        <v>24.6</v>
      </c>
      <c r="S19" s="227">
        <f t="shared" si="66"/>
        <v>24.9</v>
      </c>
      <c r="T19" s="226">
        <f t="shared" si="66"/>
        <v>25.3</v>
      </c>
      <c r="U19" s="226">
        <f t="shared" si="66"/>
        <v>25.6</v>
      </c>
      <c r="V19" s="2"/>
      <c r="W19" s="227">
        <v>56.0</v>
      </c>
      <c r="X19" s="226">
        <f t="shared" ref="X19:AE19" si="67">ROUND(AVERAGE($W19/(1.0278-0.0278*X$2),$W19*X$2^0.1),1)</f>
        <v>58.8</v>
      </c>
      <c r="Y19" s="226">
        <f t="shared" si="67"/>
        <v>60.9</v>
      </c>
      <c r="Z19" s="226">
        <f t="shared" si="67"/>
        <v>62.7</v>
      </c>
      <c r="AA19" s="227">
        <f t="shared" si="67"/>
        <v>64.4</v>
      </c>
      <c r="AB19" s="226">
        <f t="shared" si="67"/>
        <v>66</v>
      </c>
      <c r="AC19" s="226">
        <f t="shared" si="67"/>
        <v>67.6</v>
      </c>
      <c r="AD19" s="227">
        <f t="shared" si="67"/>
        <v>69.2</v>
      </c>
      <c r="AE19" s="226">
        <f t="shared" si="67"/>
        <v>70.9</v>
      </c>
      <c r="AF19" s="227">
        <f t="shared" ref="AF19:AP19" si="68">ROUND(AVERAGE($W19*(1+0.0333*K$2),$W19*K$2^0.1),1)</f>
        <v>72.6</v>
      </c>
      <c r="AG19" s="226">
        <f t="shared" si="68"/>
        <v>73.8</v>
      </c>
      <c r="AH19" s="227">
        <f t="shared" si="68"/>
        <v>75.1</v>
      </c>
      <c r="AI19" s="226">
        <f t="shared" si="68"/>
        <v>76.3</v>
      </c>
      <c r="AJ19" s="226">
        <f t="shared" si="68"/>
        <v>77.5</v>
      </c>
      <c r="AK19" s="227">
        <f t="shared" si="68"/>
        <v>78.7</v>
      </c>
      <c r="AL19" s="226">
        <f t="shared" si="68"/>
        <v>79.9</v>
      </c>
      <c r="AM19" s="226">
        <f t="shared" si="68"/>
        <v>81</v>
      </c>
      <c r="AN19" s="227">
        <f t="shared" si="68"/>
        <v>82.2</v>
      </c>
      <c r="AO19" s="226">
        <f t="shared" si="68"/>
        <v>83.3</v>
      </c>
      <c r="AP19" s="226">
        <f t="shared" si="68"/>
        <v>84.4</v>
      </c>
    </row>
    <row r="20" ht="14.25" customHeight="1">
      <c r="A20" s="2"/>
      <c r="B20" s="227">
        <v>18.0</v>
      </c>
      <c r="C20" s="226">
        <f t="shared" ref="C20:J20" si="69">ROUND(AVERAGE($B20/(1.0278-0.0278*C$2),$B20*C$2^0.1),1)</f>
        <v>18.9</v>
      </c>
      <c r="D20" s="226">
        <f t="shared" si="69"/>
        <v>19.6</v>
      </c>
      <c r="E20" s="226">
        <f t="shared" si="69"/>
        <v>20.2</v>
      </c>
      <c r="F20" s="227">
        <f t="shared" si="69"/>
        <v>20.7</v>
      </c>
      <c r="G20" s="226">
        <f t="shared" si="69"/>
        <v>21.2</v>
      </c>
      <c r="H20" s="226">
        <f t="shared" si="69"/>
        <v>21.7</v>
      </c>
      <c r="I20" s="227">
        <f t="shared" si="69"/>
        <v>22.3</v>
      </c>
      <c r="J20" s="226">
        <f t="shared" si="69"/>
        <v>22.8</v>
      </c>
      <c r="K20" s="227">
        <f t="shared" ref="K20:U20" si="70">ROUND(AVERAGE($B20*(1+0.0333*K$2),$B20*K$2^0.1),1)</f>
        <v>23.3</v>
      </c>
      <c r="L20" s="226">
        <f t="shared" si="70"/>
        <v>23.7</v>
      </c>
      <c r="M20" s="227">
        <f t="shared" si="70"/>
        <v>24.1</v>
      </c>
      <c r="N20" s="226">
        <f t="shared" si="70"/>
        <v>24.5</v>
      </c>
      <c r="O20" s="226">
        <f t="shared" si="70"/>
        <v>24.9</v>
      </c>
      <c r="P20" s="227">
        <f t="shared" si="70"/>
        <v>25.3</v>
      </c>
      <c r="Q20" s="226">
        <f t="shared" si="70"/>
        <v>25.7</v>
      </c>
      <c r="R20" s="226">
        <f t="shared" si="70"/>
        <v>26</v>
      </c>
      <c r="S20" s="227">
        <f t="shared" si="70"/>
        <v>26.4</v>
      </c>
      <c r="T20" s="226">
        <f t="shared" si="70"/>
        <v>26.8</v>
      </c>
      <c r="U20" s="226">
        <f t="shared" si="70"/>
        <v>27.1</v>
      </c>
      <c r="V20" s="2"/>
      <c r="W20" s="227">
        <v>57.0</v>
      </c>
      <c r="X20" s="226">
        <f t="shared" ref="X20:AE20" si="71">ROUND(AVERAGE($W20/(1.0278-0.0278*X$2),$W20*X$2^0.1),1)</f>
        <v>59.9</v>
      </c>
      <c r="Y20" s="226">
        <f t="shared" si="71"/>
        <v>62</v>
      </c>
      <c r="Z20" s="226">
        <f t="shared" si="71"/>
        <v>63.8</v>
      </c>
      <c r="AA20" s="227">
        <f t="shared" si="71"/>
        <v>65.5</v>
      </c>
      <c r="AB20" s="226">
        <f t="shared" si="71"/>
        <v>67.2</v>
      </c>
      <c r="AC20" s="226">
        <f t="shared" si="71"/>
        <v>68.8</v>
      </c>
      <c r="AD20" s="227">
        <f t="shared" si="71"/>
        <v>70.5</v>
      </c>
      <c r="AE20" s="226">
        <f t="shared" si="71"/>
        <v>72.2</v>
      </c>
      <c r="AF20" s="227">
        <f t="shared" ref="AF20:AP20" si="72">ROUND(AVERAGE($W20*(1+0.0333*K$2),$W20*K$2^0.1),1)</f>
        <v>73.9</v>
      </c>
      <c r="AG20" s="226">
        <f t="shared" si="72"/>
        <v>75.2</v>
      </c>
      <c r="AH20" s="227">
        <f t="shared" si="72"/>
        <v>76.4</v>
      </c>
      <c r="AI20" s="226">
        <f t="shared" si="72"/>
        <v>77.7</v>
      </c>
      <c r="AJ20" s="226">
        <f t="shared" si="72"/>
        <v>78.9</v>
      </c>
      <c r="AK20" s="227">
        <f t="shared" si="72"/>
        <v>80.1</v>
      </c>
      <c r="AL20" s="226">
        <f t="shared" si="72"/>
        <v>81.3</v>
      </c>
      <c r="AM20" s="226">
        <f t="shared" si="72"/>
        <v>82.5</v>
      </c>
      <c r="AN20" s="227">
        <f t="shared" si="72"/>
        <v>83.6</v>
      </c>
      <c r="AO20" s="226">
        <f t="shared" si="72"/>
        <v>84.8</v>
      </c>
      <c r="AP20" s="226">
        <f t="shared" si="72"/>
        <v>85.9</v>
      </c>
    </row>
    <row r="21" ht="14.25" customHeight="1">
      <c r="A21" s="2"/>
      <c r="B21" s="227">
        <v>19.0</v>
      </c>
      <c r="C21" s="226">
        <f t="shared" ref="C21:J21" si="73">ROUND(AVERAGE($B21/(1.0278-0.0278*C$2),$B21*C$2^0.1),1)</f>
        <v>20</v>
      </c>
      <c r="D21" s="226">
        <f t="shared" si="73"/>
        <v>20.7</v>
      </c>
      <c r="E21" s="226">
        <f t="shared" si="73"/>
        <v>21.3</v>
      </c>
      <c r="F21" s="227">
        <f t="shared" si="73"/>
        <v>21.8</v>
      </c>
      <c r="G21" s="226">
        <f t="shared" si="73"/>
        <v>22.4</v>
      </c>
      <c r="H21" s="226">
        <f t="shared" si="73"/>
        <v>22.9</v>
      </c>
      <c r="I21" s="227">
        <f t="shared" si="73"/>
        <v>23.5</v>
      </c>
      <c r="J21" s="226">
        <f t="shared" si="73"/>
        <v>24.1</v>
      </c>
      <c r="K21" s="227">
        <f t="shared" ref="K21:U21" si="74">ROUND(AVERAGE($B21*(1+0.0333*K$2),$B21*K$2^0.1),1)</f>
        <v>24.6</v>
      </c>
      <c r="L21" s="226">
        <f t="shared" si="74"/>
        <v>25.1</v>
      </c>
      <c r="M21" s="227">
        <f t="shared" si="74"/>
        <v>25.5</v>
      </c>
      <c r="N21" s="226">
        <f t="shared" si="74"/>
        <v>25.9</v>
      </c>
      <c r="O21" s="226">
        <f t="shared" si="74"/>
        <v>26.3</v>
      </c>
      <c r="P21" s="227">
        <f t="shared" si="74"/>
        <v>26.7</v>
      </c>
      <c r="Q21" s="226">
        <f t="shared" si="74"/>
        <v>27.1</v>
      </c>
      <c r="R21" s="226">
        <f t="shared" si="74"/>
        <v>27.5</v>
      </c>
      <c r="S21" s="227">
        <f t="shared" si="74"/>
        <v>27.9</v>
      </c>
      <c r="T21" s="226">
        <f t="shared" si="74"/>
        <v>28.3</v>
      </c>
      <c r="U21" s="226">
        <f t="shared" si="74"/>
        <v>28.6</v>
      </c>
      <c r="V21" s="2"/>
      <c r="W21" s="227">
        <v>58.0</v>
      </c>
      <c r="X21" s="226">
        <f t="shared" ref="X21:AE21" si="75">ROUND(AVERAGE($W21/(1.0278-0.0278*X$2),$W21*X$2^0.1),1)</f>
        <v>60.9</v>
      </c>
      <c r="Y21" s="226">
        <f t="shared" si="75"/>
        <v>63.1</v>
      </c>
      <c r="Z21" s="226">
        <f t="shared" si="75"/>
        <v>65</v>
      </c>
      <c r="AA21" s="227">
        <f t="shared" si="75"/>
        <v>66.7</v>
      </c>
      <c r="AB21" s="226">
        <f t="shared" si="75"/>
        <v>68.4</v>
      </c>
      <c r="AC21" s="226">
        <f t="shared" si="75"/>
        <v>70</v>
      </c>
      <c r="AD21" s="227">
        <f t="shared" si="75"/>
        <v>71.7</v>
      </c>
      <c r="AE21" s="226">
        <f t="shared" si="75"/>
        <v>73.4</v>
      </c>
      <c r="AF21" s="227">
        <f t="shared" ref="AF21:AP21" si="76">ROUND(AVERAGE($W21*(1+0.0333*K$2),$W21*K$2^0.1),1)</f>
        <v>75.2</v>
      </c>
      <c r="AG21" s="226">
        <f t="shared" si="76"/>
        <v>76.5</v>
      </c>
      <c r="AH21" s="227">
        <f t="shared" si="76"/>
        <v>77.8</v>
      </c>
      <c r="AI21" s="226">
        <f t="shared" si="76"/>
        <v>79</v>
      </c>
      <c r="AJ21" s="226">
        <f t="shared" si="76"/>
        <v>80.3</v>
      </c>
      <c r="AK21" s="227">
        <f t="shared" si="76"/>
        <v>81.5</v>
      </c>
      <c r="AL21" s="226">
        <f t="shared" si="76"/>
        <v>82.7</v>
      </c>
      <c r="AM21" s="226">
        <f t="shared" si="76"/>
        <v>83.9</v>
      </c>
      <c r="AN21" s="227">
        <f t="shared" si="76"/>
        <v>85.1</v>
      </c>
      <c r="AO21" s="226">
        <f t="shared" si="76"/>
        <v>86.3</v>
      </c>
      <c r="AP21" s="226">
        <f t="shared" si="76"/>
        <v>87.4</v>
      </c>
    </row>
    <row r="22" ht="14.25" customHeight="1">
      <c r="A22" s="2"/>
      <c r="B22" s="227">
        <v>20.0</v>
      </c>
      <c r="C22" s="226">
        <f t="shared" ref="C22:J22" si="77">ROUND(AVERAGE($B22/(1.0278-0.0278*C$2),$B22*C$2^0.1),1)</f>
        <v>21</v>
      </c>
      <c r="D22" s="226">
        <f t="shared" si="77"/>
        <v>21.7</v>
      </c>
      <c r="E22" s="226">
        <f t="shared" si="77"/>
        <v>22.4</v>
      </c>
      <c r="F22" s="227">
        <f t="shared" si="77"/>
        <v>23</v>
      </c>
      <c r="G22" s="226">
        <f t="shared" si="77"/>
        <v>23.6</v>
      </c>
      <c r="H22" s="226">
        <f t="shared" si="77"/>
        <v>24.2</v>
      </c>
      <c r="I22" s="227">
        <f t="shared" si="77"/>
        <v>24.7</v>
      </c>
      <c r="J22" s="226">
        <f t="shared" si="77"/>
        <v>25.3</v>
      </c>
      <c r="K22" s="227">
        <f t="shared" ref="K22:U22" si="78">ROUND(AVERAGE($B22*(1+0.0333*K$2),$B22*K$2^0.1),1)</f>
        <v>25.9</v>
      </c>
      <c r="L22" s="226">
        <f t="shared" si="78"/>
        <v>26.4</v>
      </c>
      <c r="M22" s="227">
        <f t="shared" si="78"/>
        <v>26.8</v>
      </c>
      <c r="N22" s="226">
        <f t="shared" si="78"/>
        <v>27.3</v>
      </c>
      <c r="O22" s="226">
        <f t="shared" si="78"/>
        <v>27.7</v>
      </c>
      <c r="P22" s="227">
        <f t="shared" si="78"/>
        <v>28.1</v>
      </c>
      <c r="Q22" s="226">
        <f t="shared" si="78"/>
        <v>28.5</v>
      </c>
      <c r="R22" s="226">
        <f t="shared" si="78"/>
        <v>28.9</v>
      </c>
      <c r="S22" s="227">
        <f t="shared" si="78"/>
        <v>29.3</v>
      </c>
      <c r="T22" s="226">
        <f t="shared" si="78"/>
        <v>29.8</v>
      </c>
      <c r="U22" s="226">
        <f t="shared" si="78"/>
        <v>30.2</v>
      </c>
      <c r="V22" s="2"/>
      <c r="W22" s="227">
        <v>59.0</v>
      </c>
      <c r="X22" s="226">
        <f t="shared" ref="X22:AE22" si="79">ROUND(AVERAGE($W22/(1.0278-0.0278*X$2),$W22*X$2^0.1),1)</f>
        <v>62</v>
      </c>
      <c r="Y22" s="226">
        <f t="shared" si="79"/>
        <v>64.2</v>
      </c>
      <c r="Z22" s="226">
        <f t="shared" si="79"/>
        <v>66.1</v>
      </c>
      <c r="AA22" s="227">
        <f t="shared" si="79"/>
        <v>67.8</v>
      </c>
      <c r="AB22" s="226">
        <f t="shared" si="79"/>
        <v>69.6</v>
      </c>
      <c r="AC22" s="226">
        <f t="shared" si="79"/>
        <v>71.2</v>
      </c>
      <c r="AD22" s="227">
        <f t="shared" si="79"/>
        <v>72.9</v>
      </c>
      <c r="AE22" s="226">
        <f t="shared" si="79"/>
        <v>74.7</v>
      </c>
      <c r="AF22" s="227">
        <f t="shared" ref="AF22:AP22" si="80">ROUND(AVERAGE($W22*(1+0.0333*K$2),$W22*K$2^0.1),1)</f>
        <v>76.5</v>
      </c>
      <c r="AG22" s="226">
        <f t="shared" si="80"/>
        <v>77.8</v>
      </c>
      <c r="AH22" s="227">
        <f t="shared" si="80"/>
        <v>79.1</v>
      </c>
      <c r="AI22" s="226">
        <f t="shared" si="80"/>
        <v>80.4</v>
      </c>
      <c r="AJ22" s="226">
        <f t="shared" si="80"/>
        <v>81.7</v>
      </c>
      <c r="AK22" s="227">
        <f t="shared" si="80"/>
        <v>82.9</v>
      </c>
      <c r="AL22" s="226">
        <f t="shared" si="80"/>
        <v>84.1</v>
      </c>
      <c r="AM22" s="226">
        <f t="shared" si="80"/>
        <v>85.4</v>
      </c>
      <c r="AN22" s="227">
        <f t="shared" si="80"/>
        <v>86.6</v>
      </c>
      <c r="AO22" s="226">
        <f t="shared" si="80"/>
        <v>87.8</v>
      </c>
      <c r="AP22" s="226">
        <f t="shared" si="80"/>
        <v>89</v>
      </c>
    </row>
    <row r="23" ht="14.25" customHeight="1">
      <c r="A23" s="2"/>
      <c r="B23" s="227">
        <v>21.0</v>
      </c>
      <c r="C23" s="226">
        <f t="shared" ref="C23:J23" si="81">ROUND(AVERAGE($B23/(1.0278-0.0278*C$2),$B23*C$2^0.1),1)</f>
        <v>22.1</v>
      </c>
      <c r="D23" s="226">
        <f t="shared" si="81"/>
        <v>22.8</v>
      </c>
      <c r="E23" s="226">
        <f t="shared" si="81"/>
        <v>23.5</v>
      </c>
      <c r="F23" s="227">
        <f t="shared" si="81"/>
        <v>24.1</v>
      </c>
      <c r="G23" s="226">
        <f t="shared" si="81"/>
        <v>24.8</v>
      </c>
      <c r="H23" s="226">
        <f t="shared" si="81"/>
        <v>25.4</v>
      </c>
      <c r="I23" s="227">
        <f t="shared" si="81"/>
        <v>26</v>
      </c>
      <c r="J23" s="226">
        <f t="shared" si="81"/>
        <v>26.6</v>
      </c>
      <c r="K23" s="227">
        <f t="shared" ref="K23:U23" si="82">ROUND(AVERAGE($B23*(1+0.0333*K$2),$B23*K$2^0.1),1)</f>
        <v>27.2</v>
      </c>
      <c r="L23" s="226">
        <f t="shared" si="82"/>
        <v>27.7</v>
      </c>
      <c r="M23" s="227">
        <f t="shared" si="82"/>
        <v>28.2</v>
      </c>
      <c r="N23" s="226">
        <f t="shared" si="82"/>
        <v>28.6</v>
      </c>
      <c r="O23" s="226">
        <f t="shared" si="82"/>
        <v>29.1</v>
      </c>
      <c r="P23" s="227">
        <f t="shared" si="82"/>
        <v>29.5</v>
      </c>
      <c r="Q23" s="226">
        <f t="shared" si="82"/>
        <v>29.9</v>
      </c>
      <c r="R23" s="226">
        <f t="shared" si="82"/>
        <v>30.4</v>
      </c>
      <c r="S23" s="227">
        <f t="shared" si="82"/>
        <v>30.8</v>
      </c>
      <c r="T23" s="226">
        <f t="shared" si="82"/>
        <v>31.2</v>
      </c>
      <c r="U23" s="226">
        <f t="shared" si="82"/>
        <v>31.7</v>
      </c>
      <c r="V23" s="2"/>
      <c r="W23" s="227">
        <v>60.0</v>
      </c>
      <c r="X23" s="226">
        <f t="shared" ref="X23:AE23" si="83">ROUND(AVERAGE($W23/(1.0278-0.0278*X$2),$W23*X$2^0.1),1)</f>
        <v>63</v>
      </c>
      <c r="Y23" s="226">
        <f t="shared" si="83"/>
        <v>65.2</v>
      </c>
      <c r="Z23" s="226">
        <f t="shared" si="83"/>
        <v>67.2</v>
      </c>
      <c r="AA23" s="227">
        <f t="shared" si="83"/>
        <v>69</v>
      </c>
      <c r="AB23" s="226">
        <f t="shared" si="83"/>
        <v>70.7</v>
      </c>
      <c r="AC23" s="226">
        <f t="shared" si="83"/>
        <v>72.5</v>
      </c>
      <c r="AD23" s="227">
        <f t="shared" si="83"/>
        <v>74.2</v>
      </c>
      <c r="AE23" s="226">
        <f t="shared" si="83"/>
        <v>76</v>
      </c>
      <c r="AF23" s="227">
        <f t="shared" ref="AF23:AP23" si="84">ROUND(AVERAGE($W23*(1+0.0333*K$2),$W23*K$2^0.1),1)</f>
        <v>77.8</v>
      </c>
      <c r="AG23" s="226">
        <f t="shared" si="84"/>
        <v>79.1</v>
      </c>
      <c r="AH23" s="227">
        <f t="shared" si="84"/>
        <v>80.5</v>
      </c>
      <c r="AI23" s="226">
        <f t="shared" si="84"/>
        <v>81.8</v>
      </c>
      <c r="AJ23" s="226">
        <f t="shared" si="84"/>
        <v>83</v>
      </c>
      <c r="AK23" s="227">
        <f t="shared" si="84"/>
        <v>84.3</v>
      </c>
      <c r="AL23" s="226">
        <f t="shared" si="84"/>
        <v>85.6</v>
      </c>
      <c r="AM23" s="226">
        <f t="shared" si="84"/>
        <v>86.8</v>
      </c>
      <c r="AN23" s="227">
        <f t="shared" si="84"/>
        <v>88</v>
      </c>
      <c r="AO23" s="226">
        <f t="shared" si="84"/>
        <v>89.3</v>
      </c>
      <c r="AP23" s="226">
        <f t="shared" si="84"/>
        <v>90.5</v>
      </c>
    </row>
    <row r="24" ht="14.25" customHeight="1">
      <c r="A24" s="2"/>
      <c r="B24" s="227">
        <v>22.0</v>
      </c>
      <c r="C24" s="226">
        <f t="shared" ref="C24:J24" si="85">ROUND(AVERAGE($B24/(1.0278-0.0278*C$2),$B24*C$2^0.1),1)</f>
        <v>23.1</v>
      </c>
      <c r="D24" s="226">
        <f t="shared" si="85"/>
        <v>23.9</v>
      </c>
      <c r="E24" s="226">
        <f t="shared" si="85"/>
        <v>24.6</v>
      </c>
      <c r="F24" s="227">
        <f t="shared" si="85"/>
        <v>25.3</v>
      </c>
      <c r="G24" s="226">
        <f t="shared" si="85"/>
        <v>25.9</v>
      </c>
      <c r="H24" s="226">
        <f t="shared" si="85"/>
        <v>26.6</v>
      </c>
      <c r="I24" s="227">
        <f t="shared" si="85"/>
        <v>27.2</v>
      </c>
      <c r="J24" s="226">
        <f t="shared" si="85"/>
        <v>27.8</v>
      </c>
      <c r="K24" s="227">
        <f t="shared" ref="K24:U24" si="86">ROUND(AVERAGE($B24*(1+0.0333*K$2),$B24*K$2^0.1),1)</f>
        <v>28.5</v>
      </c>
      <c r="L24" s="226">
        <f t="shared" si="86"/>
        <v>29</v>
      </c>
      <c r="M24" s="227">
        <f t="shared" si="86"/>
        <v>29.5</v>
      </c>
      <c r="N24" s="226">
        <f t="shared" si="86"/>
        <v>30</v>
      </c>
      <c r="O24" s="226">
        <f t="shared" si="86"/>
        <v>30.5</v>
      </c>
      <c r="P24" s="227">
        <f t="shared" si="86"/>
        <v>30.9</v>
      </c>
      <c r="Q24" s="226">
        <f t="shared" si="86"/>
        <v>31.4</v>
      </c>
      <c r="R24" s="226">
        <f t="shared" si="86"/>
        <v>31.8</v>
      </c>
      <c r="S24" s="227">
        <f t="shared" si="86"/>
        <v>32.3</v>
      </c>
      <c r="T24" s="226">
        <f t="shared" si="86"/>
        <v>32.7</v>
      </c>
      <c r="U24" s="226">
        <f t="shared" si="86"/>
        <v>33.2</v>
      </c>
      <c r="V24" s="2"/>
      <c r="W24" s="227">
        <v>61.0</v>
      </c>
      <c r="X24" s="226">
        <f t="shared" ref="X24:AE24" si="87">ROUND(AVERAGE($W24/(1.0278-0.0278*X$2),$W24*X$2^0.1),1)</f>
        <v>64.1</v>
      </c>
      <c r="Y24" s="226">
        <f t="shared" si="87"/>
        <v>66.3</v>
      </c>
      <c r="Z24" s="226">
        <f t="shared" si="87"/>
        <v>68.3</v>
      </c>
      <c r="AA24" s="227">
        <f t="shared" si="87"/>
        <v>70.1</v>
      </c>
      <c r="AB24" s="226">
        <f t="shared" si="87"/>
        <v>71.9</v>
      </c>
      <c r="AC24" s="226">
        <f t="shared" si="87"/>
        <v>73.7</v>
      </c>
      <c r="AD24" s="227">
        <f t="shared" si="87"/>
        <v>75.4</v>
      </c>
      <c r="AE24" s="226">
        <f t="shared" si="87"/>
        <v>77.2</v>
      </c>
      <c r="AF24" s="227">
        <f t="shared" ref="AF24:AP24" si="88">ROUND(AVERAGE($W24*(1+0.0333*K$2),$W24*K$2^0.1),1)</f>
        <v>79.1</v>
      </c>
      <c r="AG24" s="226">
        <f t="shared" si="88"/>
        <v>80.4</v>
      </c>
      <c r="AH24" s="227">
        <f t="shared" si="88"/>
        <v>81.8</v>
      </c>
      <c r="AI24" s="226">
        <f t="shared" si="88"/>
        <v>83.1</v>
      </c>
      <c r="AJ24" s="226">
        <f t="shared" si="88"/>
        <v>84.4</v>
      </c>
      <c r="AK24" s="227">
        <f t="shared" si="88"/>
        <v>85.7</v>
      </c>
      <c r="AL24" s="226">
        <f t="shared" si="88"/>
        <v>87</v>
      </c>
      <c r="AM24" s="226">
        <f t="shared" si="88"/>
        <v>88.3</v>
      </c>
      <c r="AN24" s="227">
        <f t="shared" si="88"/>
        <v>89.5</v>
      </c>
      <c r="AO24" s="226">
        <f t="shared" si="88"/>
        <v>90.7</v>
      </c>
      <c r="AP24" s="226">
        <f t="shared" si="88"/>
        <v>92</v>
      </c>
    </row>
    <row r="25" ht="14.25" customHeight="1">
      <c r="A25" s="2"/>
      <c r="B25" s="227">
        <v>23.0</v>
      </c>
      <c r="C25" s="226">
        <f t="shared" ref="C25:J25" si="89">ROUND(AVERAGE($B25/(1.0278-0.0278*C$2),$B25*C$2^0.1),1)</f>
        <v>24.2</v>
      </c>
      <c r="D25" s="226">
        <f t="shared" si="89"/>
        <v>25</v>
      </c>
      <c r="E25" s="226">
        <f t="shared" si="89"/>
        <v>25.8</v>
      </c>
      <c r="F25" s="227">
        <f t="shared" si="89"/>
        <v>26.4</v>
      </c>
      <c r="G25" s="226">
        <f t="shared" si="89"/>
        <v>27.1</v>
      </c>
      <c r="H25" s="226">
        <f t="shared" si="89"/>
        <v>27.8</v>
      </c>
      <c r="I25" s="227">
        <f t="shared" si="89"/>
        <v>28.4</v>
      </c>
      <c r="J25" s="226">
        <f t="shared" si="89"/>
        <v>29.1</v>
      </c>
      <c r="K25" s="227">
        <f t="shared" ref="K25:U25" si="90">ROUND(AVERAGE($B25*(1+0.0333*K$2),$B25*K$2^0.1),1)</f>
        <v>29.8</v>
      </c>
      <c r="L25" s="226">
        <f t="shared" si="90"/>
        <v>30.3</v>
      </c>
      <c r="M25" s="227">
        <f t="shared" si="90"/>
        <v>30.8</v>
      </c>
      <c r="N25" s="226">
        <f t="shared" si="90"/>
        <v>31.3</v>
      </c>
      <c r="O25" s="226">
        <f t="shared" si="90"/>
        <v>31.8</v>
      </c>
      <c r="P25" s="227">
        <f t="shared" si="90"/>
        <v>32.3</v>
      </c>
      <c r="Q25" s="226">
        <f t="shared" si="90"/>
        <v>32.8</v>
      </c>
      <c r="R25" s="226">
        <f t="shared" si="90"/>
        <v>33.3</v>
      </c>
      <c r="S25" s="227">
        <f t="shared" si="90"/>
        <v>33.7</v>
      </c>
      <c r="T25" s="226">
        <f t="shared" si="90"/>
        <v>34.2</v>
      </c>
      <c r="U25" s="226">
        <f t="shared" si="90"/>
        <v>34.7</v>
      </c>
      <c r="V25" s="2"/>
      <c r="W25" s="227">
        <v>62.0</v>
      </c>
      <c r="X25" s="226">
        <f t="shared" ref="X25:AE25" si="91">ROUND(AVERAGE($W25/(1.0278-0.0278*X$2),$W25*X$2^0.1),1)</f>
        <v>65.1</v>
      </c>
      <c r="Y25" s="226">
        <f t="shared" si="91"/>
        <v>67.4</v>
      </c>
      <c r="Z25" s="226">
        <f t="shared" si="91"/>
        <v>69.4</v>
      </c>
      <c r="AA25" s="227">
        <f t="shared" si="91"/>
        <v>71.3</v>
      </c>
      <c r="AB25" s="226">
        <f t="shared" si="91"/>
        <v>73.1</v>
      </c>
      <c r="AC25" s="226">
        <f t="shared" si="91"/>
        <v>74.9</v>
      </c>
      <c r="AD25" s="227">
        <f t="shared" si="91"/>
        <v>76.7</v>
      </c>
      <c r="AE25" s="226">
        <f t="shared" si="91"/>
        <v>78.5</v>
      </c>
      <c r="AF25" s="227">
        <f t="shared" ref="AF25:AP25" si="92">ROUND(AVERAGE($W25*(1+0.0333*K$2),$W25*K$2^0.1),1)</f>
        <v>80.3</v>
      </c>
      <c r="AG25" s="226">
        <f t="shared" si="92"/>
        <v>81.8</v>
      </c>
      <c r="AH25" s="227">
        <f t="shared" si="92"/>
        <v>83.1</v>
      </c>
      <c r="AI25" s="226">
        <f t="shared" si="92"/>
        <v>84.5</v>
      </c>
      <c r="AJ25" s="226">
        <f t="shared" si="92"/>
        <v>85.8</v>
      </c>
      <c r="AK25" s="227">
        <f t="shared" si="92"/>
        <v>87.1</v>
      </c>
      <c r="AL25" s="226">
        <f t="shared" si="92"/>
        <v>88.4</v>
      </c>
      <c r="AM25" s="226">
        <f t="shared" si="92"/>
        <v>89.7</v>
      </c>
      <c r="AN25" s="227">
        <f t="shared" si="92"/>
        <v>91</v>
      </c>
      <c r="AO25" s="226">
        <f t="shared" si="92"/>
        <v>92.2</v>
      </c>
      <c r="AP25" s="226">
        <f t="shared" si="92"/>
        <v>93.5</v>
      </c>
    </row>
    <row r="26" ht="14.25" customHeight="1">
      <c r="A26" s="2"/>
      <c r="B26" s="227">
        <v>24.0</v>
      </c>
      <c r="C26" s="226">
        <f t="shared" ref="C26:J26" si="93">ROUND(AVERAGE($B26/(1.0278-0.0278*C$2),$B26*C$2^0.1),1)</f>
        <v>25.2</v>
      </c>
      <c r="D26" s="226">
        <f t="shared" si="93"/>
        <v>26.1</v>
      </c>
      <c r="E26" s="226">
        <f t="shared" si="93"/>
        <v>26.9</v>
      </c>
      <c r="F26" s="227">
        <f t="shared" si="93"/>
        <v>27.6</v>
      </c>
      <c r="G26" s="226">
        <f t="shared" si="93"/>
        <v>28.3</v>
      </c>
      <c r="H26" s="226">
        <f t="shared" si="93"/>
        <v>29</v>
      </c>
      <c r="I26" s="227">
        <f t="shared" si="93"/>
        <v>29.7</v>
      </c>
      <c r="J26" s="226">
        <f t="shared" si="93"/>
        <v>30.4</v>
      </c>
      <c r="K26" s="227">
        <f t="shared" ref="K26:U26" si="94">ROUND(AVERAGE($B26*(1+0.0333*K$2),$B26*K$2^0.1),1)</f>
        <v>31.1</v>
      </c>
      <c r="L26" s="226">
        <f t="shared" si="94"/>
        <v>31.6</v>
      </c>
      <c r="M26" s="227">
        <f t="shared" si="94"/>
        <v>32.2</v>
      </c>
      <c r="N26" s="226">
        <f t="shared" si="94"/>
        <v>32.7</v>
      </c>
      <c r="O26" s="226">
        <f t="shared" si="94"/>
        <v>33.2</v>
      </c>
      <c r="P26" s="227">
        <f t="shared" si="94"/>
        <v>33.7</v>
      </c>
      <c r="Q26" s="226">
        <f t="shared" si="94"/>
        <v>34.2</v>
      </c>
      <c r="R26" s="226">
        <f t="shared" si="94"/>
        <v>34.7</v>
      </c>
      <c r="S26" s="227">
        <f t="shared" si="94"/>
        <v>35.2</v>
      </c>
      <c r="T26" s="226">
        <f t="shared" si="94"/>
        <v>35.7</v>
      </c>
      <c r="U26" s="226">
        <f t="shared" si="94"/>
        <v>36.2</v>
      </c>
      <c r="V26" s="2"/>
      <c r="W26" s="227">
        <v>63.0</v>
      </c>
      <c r="X26" s="226">
        <f t="shared" ref="X26:AE26" si="95">ROUND(AVERAGE($W26/(1.0278-0.0278*X$2),$W26*X$2^0.1),1)</f>
        <v>66.2</v>
      </c>
      <c r="Y26" s="226">
        <f t="shared" si="95"/>
        <v>68.5</v>
      </c>
      <c r="Z26" s="226">
        <f t="shared" si="95"/>
        <v>70.6</v>
      </c>
      <c r="AA26" s="227">
        <f t="shared" si="95"/>
        <v>72.4</v>
      </c>
      <c r="AB26" s="226">
        <f t="shared" si="95"/>
        <v>74.3</v>
      </c>
      <c r="AC26" s="226">
        <f t="shared" si="95"/>
        <v>76.1</v>
      </c>
      <c r="AD26" s="227">
        <f t="shared" si="95"/>
        <v>77.9</v>
      </c>
      <c r="AE26" s="226">
        <f t="shared" si="95"/>
        <v>79.7</v>
      </c>
      <c r="AF26" s="227">
        <f t="shared" ref="AF26:AP26" si="96">ROUND(AVERAGE($W26*(1+0.0333*K$2),$W26*K$2^0.1),1)</f>
        <v>81.6</v>
      </c>
      <c r="AG26" s="226">
        <f t="shared" si="96"/>
        <v>83.1</v>
      </c>
      <c r="AH26" s="227">
        <f t="shared" si="96"/>
        <v>84.5</v>
      </c>
      <c r="AI26" s="226">
        <f t="shared" si="96"/>
        <v>85.8</v>
      </c>
      <c r="AJ26" s="226">
        <f t="shared" si="96"/>
        <v>87.2</v>
      </c>
      <c r="AK26" s="227">
        <f t="shared" si="96"/>
        <v>88.5</v>
      </c>
      <c r="AL26" s="226">
        <f t="shared" si="96"/>
        <v>89.8</v>
      </c>
      <c r="AM26" s="226">
        <f t="shared" si="96"/>
        <v>91.1</v>
      </c>
      <c r="AN26" s="227">
        <f t="shared" si="96"/>
        <v>92.4</v>
      </c>
      <c r="AO26" s="226">
        <f t="shared" si="96"/>
        <v>93.7</v>
      </c>
      <c r="AP26" s="226">
        <f t="shared" si="96"/>
        <v>95</v>
      </c>
    </row>
    <row r="27" ht="14.25" customHeight="1">
      <c r="A27" s="2"/>
      <c r="B27" s="227">
        <v>25.0</v>
      </c>
      <c r="C27" s="226">
        <f t="shared" ref="C27:J27" si="97">ROUND(AVERAGE($B27/(1.0278-0.0278*C$2),$B27*C$2^0.1),1)</f>
        <v>26.3</v>
      </c>
      <c r="D27" s="226">
        <f t="shared" si="97"/>
        <v>27.2</v>
      </c>
      <c r="E27" s="226">
        <f t="shared" si="97"/>
        <v>28</v>
      </c>
      <c r="F27" s="227">
        <f t="shared" si="97"/>
        <v>28.7</v>
      </c>
      <c r="G27" s="226">
        <f t="shared" si="97"/>
        <v>29.5</v>
      </c>
      <c r="H27" s="226">
        <f t="shared" si="97"/>
        <v>30.2</v>
      </c>
      <c r="I27" s="227">
        <f t="shared" si="97"/>
        <v>30.9</v>
      </c>
      <c r="J27" s="226">
        <f t="shared" si="97"/>
        <v>31.6</v>
      </c>
      <c r="K27" s="227">
        <f t="shared" ref="K27:U27" si="98">ROUND(AVERAGE($B27*(1+0.0333*K$2),$B27*K$2^0.1),1)</f>
        <v>32.4</v>
      </c>
      <c r="L27" s="226">
        <f t="shared" si="98"/>
        <v>33</v>
      </c>
      <c r="M27" s="227">
        <f t="shared" si="98"/>
        <v>33.5</v>
      </c>
      <c r="N27" s="226">
        <f t="shared" si="98"/>
        <v>34.1</v>
      </c>
      <c r="O27" s="226">
        <f t="shared" si="98"/>
        <v>34.6</v>
      </c>
      <c r="P27" s="227">
        <f t="shared" si="98"/>
        <v>35.1</v>
      </c>
      <c r="Q27" s="226">
        <f t="shared" si="98"/>
        <v>35.7</v>
      </c>
      <c r="R27" s="226">
        <f t="shared" si="98"/>
        <v>36.2</v>
      </c>
      <c r="S27" s="227">
        <f t="shared" si="98"/>
        <v>36.7</v>
      </c>
      <c r="T27" s="226">
        <f t="shared" si="98"/>
        <v>37.2</v>
      </c>
      <c r="U27" s="226">
        <f t="shared" si="98"/>
        <v>37.7</v>
      </c>
      <c r="V27" s="2"/>
      <c r="W27" s="227">
        <v>64.0</v>
      </c>
      <c r="X27" s="226">
        <f t="shared" ref="X27:AE27" si="99">ROUND(AVERAGE($W27/(1.0278-0.0278*X$2),$W27*X$2^0.1),1)</f>
        <v>67.2</v>
      </c>
      <c r="Y27" s="226">
        <f t="shared" si="99"/>
        <v>69.6</v>
      </c>
      <c r="Z27" s="226">
        <f t="shared" si="99"/>
        <v>71.7</v>
      </c>
      <c r="AA27" s="227">
        <f t="shared" si="99"/>
        <v>73.6</v>
      </c>
      <c r="AB27" s="226">
        <f t="shared" si="99"/>
        <v>75.4</v>
      </c>
      <c r="AC27" s="226">
        <f t="shared" si="99"/>
        <v>77.3</v>
      </c>
      <c r="AD27" s="227">
        <f t="shared" si="99"/>
        <v>79.1</v>
      </c>
      <c r="AE27" s="226">
        <f t="shared" si="99"/>
        <v>81</v>
      </c>
      <c r="AF27" s="227">
        <f t="shared" ref="AF27:AP27" si="100">ROUND(AVERAGE($W27*(1+0.0333*K$2),$W27*K$2^0.1),1)</f>
        <v>82.9</v>
      </c>
      <c r="AG27" s="226">
        <f t="shared" si="100"/>
        <v>84.4</v>
      </c>
      <c r="AH27" s="227">
        <f t="shared" si="100"/>
        <v>85.8</v>
      </c>
      <c r="AI27" s="226">
        <f t="shared" si="100"/>
        <v>87.2</v>
      </c>
      <c r="AJ27" s="226">
        <f t="shared" si="100"/>
        <v>88.6</v>
      </c>
      <c r="AK27" s="227">
        <f t="shared" si="100"/>
        <v>89.9</v>
      </c>
      <c r="AL27" s="226">
        <f t="shared" si="100"/>
        <v>91.3</v>
      </c>
      <c r="AM27" s="226">
        <f t="shared" si="100"/>
        <v>92.6</v>
      </c>
      <c r="AN27" s="227">
        <f t="shared" si="100"/>
        <v>93.9</v>
      </c>
      <c r="AO27" s="226">
        <f t="shared" si="100"/>
        <v>95.2</v>
      </c>
      <c r="AP27" s="226">
        <f t="shared" si="100"/>
        <v>96.5</v>
      </c>
    </row>
    <row r="28" ht="14.25" customHeight="1">
      <c r="A28" s="2"/>
      <c r="B28" s="227">
        <v>26.0</v>
      </c>
      <c r="C28" s="226">
        <f t="shared" ref="C28:J28" si="101">ROUND(AVERAGE($B28/(1.0278-0.0278*C$2),$B28*C$2^0.1),1)</f>
        <v>27.3</v>
      </c>
      <c r="D28" s="226">
        <f t="shared" si="101"/>
        <v>28.3</v>
      </c>
      <c r="E28" s="226">
        <f t="shared" si="101"/>
        <v>29.1</v>
      </c>
      <c r="F28" s="227">
        <f t="shared" si="101"/>
        <v>29.9</v>
      </c>
      <c r="G28" s="226">
        <f t="shared" si="101"/>
        <v>30.6</v>
      </c>
      <c r="H28" s="226">
        <f t="shared" si="101"/>
        <v>31.4</v>
      </c>
      <c r="I28" s="227">
        <f t="shared" si="101"/>
        <v>32.1</v>
      </c>
      <c r="J28" s="226">
        <f t="shared" si="101"/>
        <v>32.9</v>
      </c>
      <c r="K28" s="227">
        <f t="shared" ref="K28:U28" si="102">ROUND(AVERAGE($B28*(1+0.0333*K$2),$B28*K$2^0.1),1)</f>
        <v>33.7</v>
      </c>
      <c r="L28" s="226">
        <f t="shared" si="102"/>
        <v>34.3</v>
      </c>
      <c r="M28" s="227">
        <f t="shared" si="102"/>
        <v>34.9</v>
      </c>
      <c r="N28" s="226">
        <f t="shared" si="102"/>
        <v>35.4</v>
      </c>
      <c r="O28" s="226">
        <f t="shared" si="102"/>
        <v>36</v>
      </c>
      <c r="P28" s="227">
        <f t="shared" si="102"/>
        <v>36.5</v>
      </c>
      <c r="Q28" s="226">
        <f t="shared" si="102"/>
        <v>37.1</v>
      </c>
      <c r="R28" s="226">
        <f t="shared" si="102"/>
        <v>37.6</v>
      </c>
      <c r="S28" s="227">
        <f t="shared" si="102"/>
        <v>38.1</v>
      </c>
      <c r="T28" s="226">
        <f t="shared" si="102"/>
        <v>38.7</v>
      </c>
      <c r="U28" s="226">
        <f t="shared" si="102"/>
        <v>39.2</v>
      </c>
      <c r="V28" s="2"/>
      <c r="W28" s="227">
        <v>65.0</v>
      </c>
      <c r="X28" s="226">
        <f t="shared" ref="X28:AE28" si="103">ROUND(AVERAGE($W28/(1.0278-0.0278*X$2),$W28*X$2^0.1),1)</f>
        <v>68.3</v>
      </c>
      <c r="Y28" s="226">
        <f t="shared" si="103"/>
        <v>70.7</v>
      </c>
      <c r="Z28" s="226">
        <f t="shared" si="103"/>
        <v>72.8</v>
      </c>
      <c r="AA28" s="227">
        <f t="shared" si="103"/>
        <v>74.7</v>
      </c>
      <c r="AB28" s="226">
        <f t="shared" si="103"/>
        <v>76.6</v>
      </c>
      <c r="AC28" s="226">
        <f t="shared" si="103"/>
        <v>78.5</v>
      </c>
      <c r="AD28" s="227">
        <f t="shared" si="103"/>
        <v>80.4</v>
      </c>
      <c r="AE28" s="226">
        <f t="shared" si="103"/>
        <v>82.3</v>
      </c>
      <c r="AF28" s="227">
        <f t="shared" ref="AF28:AP28" si="104">ROUND(AVERAGE($W28*(1+0.0333*K$2),$W28*K$2^0.1),1)</f>
        <v>84.2</v>
      </c>
      <c r="AG28" s="226">
        <f t="shared" si="104"/>
        <v>85.7</v>
      </c>
      <c r="AH28" s="227">
        <f t="shared" si="104"/>
        <v>87.2</v>
      </c>
      <c r="AI28" s="226">
        <f t="shared" si="104"/>
        <v>88.6</v>
      </c>
      <c r="AJ28" s="226">
        <f t="shared" si="104"/>
        <v>90</v>
      </c>
      <c r="AK28" s="227">
        <f t="shared" si="104"/>
        <v>91.3</v>
      </c>
      <c r="AL28" s="226">
        <f t="shared" si="104"/>
        <v>92.7</v>
      </c>
      <c r="AM28" s="226">
        <f t="shared" si="104"/>
        <v>94</v>
      </c>
      <c r="AN28" s="227">
        <f t="shared" si="104"/>
        <v>95.4</v>
      </c>
      <c r="AO28" s="226">
        <f t="shared" si="104"/>
        <v>96.7</v>
      </c>
      <c r="AP28" s="226">
        <f t="shared" si="104"/>
        <v>98</v>
      </c>
    </row>
    <row r="29" ht="14.25" customHeight="1">
      <c r="A29" s="2"/>
      <c r="B29" s="227">
        <v>27.0</v>
      </c>
      <c r="C29" s="226">
        <f t="shared" ref="C29:J29" si="105">ROUND(AVERAGE($B29/(1.0278-0.0278*C$2),$B29*C$2^0.1),1)</f>
        <v>28.4</v>
      </c>
      <c r="D29" s="226">
        <f t="shared" si="105"/>
        <v>29.4</v>
      </c>
      <c r="E29" s="226">
        <f t="shared" si="105"/>
        <v>30.2</v>
      </c>
      <c r="F29" s="227">
        <f t="shared" si="105"/>
        <v>31</v>
      </c>
      <c r="G29" s="226">
        <f t="shared" si="105"/>
        <v>31.8</v>
      </c>
      <c r="H29" s="226">
        <f t="shared" si="105"/>
        <v>32.6</v>
      </c>
      <c r="I29" s="227">
        <f t="shared" si="105"/>
        <v>33.4</v>
      </c>
      <c r="J29" s="226">
        <f t="shared" si="105"/>
        <v>34.2</v>
      </c>
      <c r="K29" s="227">
        <f t="shared" ref="K29:U29" si="106">ROUND(AVERAGE($B29*(1+0.0333*K$2),$B29*K$2^0.1),1)</f>
        <v>35</v>
      </c>
      <c r="L29" s="226">
        <f t="shared" si="106"/>
        <v>35.6</v>
      </c>
      <c r="M29" s="227">
        <f t="shared" si="106"/>
        <v>36.2</v>
      </c>
      <c r="N29" s="226">
        <f t="shared" si="106"/>
        <v>36.8</v>
      </c>
      <c r="O29" s="226">
        <f t="shared" si="106"/>
        <v>37.4</v>
      </c>
      <c r="P29" s="227">
        <f t="shared" si="106"/>
        <v>37.9</v>
      </c>
      <c r="Q29" s="226">
        <f t="shared" si="106"/>
        <v>38.5</v>
      </c>
      <c r="R29" s="226">
        <f t="shared" si="106"/>
        <v>39.1</v>
      </c>
      <c r="S29" s="227">
        <f t="shared" si="106"/>
        <v>39.6</v>
      </c>
      <c r="T29" s="226">
        <f t="shared" si="106"/>
        <v>40.2</v>
      </c>
      <c r="U29" s="226">
        <f t="shared" si="106"/>
        <v>40.7</v>
      </c>
      <c r="V29" s="2"/>
      <c r="W29" s="227">
        <v>66.0</v>
      </c>
      <c r="X29" s="226">
        <f t="shared" ref="X29:AE29" si="107">ROUND(AVERAGE($W29/(1.0278-0.0278*X$2),$W29*X$2^0.1),1)</f>
        <v>69.3</v>
      </c>
      <c r="Y29" s="226">
        <f t="shared" si="107"/>
        <v>71.8</v>
      </c>
      <c r="Z29" s="226">
        <f t="shared" si="107"/>
        <v>73.9</v>
      </c>
      <c r="AA29" s="227">
        <f t="shared" si="107"/>
        <v>75.9</v>
      </c>
      <c r="AB29" s="226">
        <f t="shared" si="107"/>
        <v>77.8</v>
      </c>
      <c r="AC29" s="226">
        <f t="shared" si="107"/>
        <v>79.7</v>
      </c>
      <c r="AD29" s="227">
        <f t="shared" si="107"/>
        <v>81.6</v>
      </c>
      <c r="AE29" s="226">
        <f t="shared" si="107"/>
        <v>83.5</v>
      </c>
      <c r="AF29" s="227">
        <f t="shared" ref="AF29:AP29" si="108">ROUND(AVERAGE($W29*(1+0.0333*K$2),$W29*K$2^0.1),1)</f>
        <v>85.5</v>
      </c>
      <c r="AG29" s="226">
        <f t="shared" si="108"/>
        <v>87</v>
      </c>
      <c r="AH29" s="227">
        <f t="shared" si="108"/>
        <v>88.5</v>
      </c>
      <c r="AI29" s="226">
        <f t="shared" si="108"/>
        <v>89.9</v>
      </c>
      <c r="AJ29" s="226">
        <f t="shared" si="108"/>
        <v>91.4</v>
      </c>
      <c r="AK29" s="227">
        <f t="shared" si="108"/>
        <v>92.7</v>
      </c>
      <c r="AL29" s="226">
        <f t="shared" si="108"/>
        <v>94.1</v>
      </c>
      <c r="AM29" s="226">
        <f t="shared" si="108"/>
        <v>95.5</v>
      </c>
      <c r="AN29" s="227">
        <f t="shared" si="108"/>
        <v>96.8</v>
      </c>
      <c r="AO29" s="226">
        <f t="shared" si="108"/>
        <v>98.2</v>
      </c>
      <c r="AP29" s="226">
        <f t="shared" si="108"/>
        <v>99.5</v>
      </c>
    </row>
    <row r="30" ht="14.25" customHeight="1">
      <c r="A30" s="2"/>
      <c r="B30" s="227">
        <v>28.0</v>
      </c>
      <c r="C30" s="226">
        <f t="shared" ref="C30:J30" si="109">ROUND(AVERAGE($B30/(1.0278-0.0278*C$2),$B30*C$2^0.1),1)</f>
        <v>29.4</v>
      </c>
      <c r="D30" s="226">
        <f t="shared" si="109"/>
        <v>30.4</v>
      </c>
      <c r="E30" s="226">
        <f t="shared" si="109"/>
        <v>31.4</v>
      </c>
      <c r="F30" s="227">
        <f t="shared" si="109"/>
        <v>32.2</v>
      </c>
      <c r="G30" s="226">
        <f t="shared" si="109"/>
        <v>33</v>
      </c>
      <c r="H30" s="226">
        <f t="shared" si="109"/>
        <v>33.8</v>
      </c>
      <c r="I30" s="227">
        <f t="shared" si="109"/>
        <v>34.6</v>
      </c>
      <c r="J30" s="226">
        <f t="shared" si="109"/>
        <v>35.4</v>
      </c>
      <c r="K30" s="227">
        <f t="shared" ref="K30:U30" si="110">ROUND(AVERAGE($B30*(1+0.0333*K$2),$B30*K$2^0.1),1)</f>
        <v>36.3</v>
      </c>
      <c r="L30" s="226">
        <f t="shared" si="110"/>
        <v>36.9</v>
      </c>
      <c r="M30" s="227">
        <f t="shared" si="110"/>
        <v>37.5</v>
      </c>
      <c r="N30" s="226">
        <f t="shared" si="110"/>
        <v>38.2</v>
      </c>
      <c r="O30" s="226">
        <f t="shared" si="110"/>
        <v>38.8</v>
      </c>
      <c r="P30" s="227">
        <f t="shared" si="110"/>
        <v>39.3</v>
      </c>
      <c r="Q30" s="226">
        <f t="shared" si="110"/>
        <v>39.9</v>
      </c>
      <c r="R30" s="226">
        <f t="shared" si="110"/>
        <v>40.5</v>
      </c>
      <c r="S30" s="227">
        <f t="shared" si="110"/>
        <v>41.1</v>
      </c>
      <c r="T30" s="226">
        <f t="shared" si="110"/>
        <v>41.7</v>
      </c>
      <c r="U30" s="226">
        <f t="shared" si="110"/>
        <v>42.2</v>
      </c>
      <c r="V30" s="2"/>
      <c r="W30" s="227">
        <v>67.0</v>
      </c>
      <c r="X30" s="226">
        <f t="shared" ref="X30:AE30" si="111">ROUND(AVERAGE($W30/(1.0278-0.0278*X$2),$W30*X$2^0.1),1)</f>
        <v>70.4</v>
      </c>
      <c r="Y30" s="226">
        <f t="shared" si="111"/>
        <v>72.9</v>
      </c>
      <c r="Z30" s="226">
        <f t="shared" si="111"/>
        <v>75</v>
      </c>
      <c r="AA30" s="227">
        <f t="shared" si="111"/>
        <v>77</v>
      </c>
      <c r="AB30" s="226">
        <f t="shared" si="111"/>
        <v>79</v>
      </c>
      <c r="AC30" s="226">
        <f t="shared" si="111"/>
        <v>80.9</v>
      </c>
      <c r="AD30" s="227">
        <f t="shared" si="111"/>
        <v>82.8</v>
      </c>
      <c r="AE30" s="226">
        <f t="shared" si="111"/>
        <v>84.8</v>
      </c>
      <c r="AF30" s="227">
        <f t="shared" ref="AF30:AP30" si="112">ROUND(AVERAGE($W30*(1+0.0333*K$2),$W30*K$2^0.1),1)</f>
        <v>86.8</v>
      </c>
      <c r="AG30" s="226">
        <f t="shared" si="112"/>
        <v>88.3</v>
      </c>
      <c r="AH30" s="227">
        <f t="shared" si="112"/>
        <v>89.8</v>
      </c>
      <c r="AI30" s="226">
        <f t="shared" si="112"/>
        <v>91.3</v>
      </c>
      <c r="AJ30" s="226">
        <f t="shared" si="112"/>
        <v>92.7</v>
      </c>
      <c r="AK30" s="227">
        <f t="shared" si="112"/>
        <v>94.2</v>
      </c>
      <c r="AL30" s="226">
        <f t="shared" si="112"/>
        <v>95.6</v>
      </c>
      <c r="AM30" s="226">
        <f t="shared" si="112"/>
        <v>96.9</v>
      </c>
      <c r="AN30" s="227">
        <f t="shared" si="112"/>
        <v>98.3</v>
      </c>
      <c r="AO30" s="226">
        <f t="shared" si="112"/>
        <v>99.7</v>
      </c>
      <c r="AP30" s="226">
        <f t="shared" si="112"/>
        <v>101</v>
      </c>
    </row>
    <row r="31" ht="14.25" customHeight="1">
      <c r="A31" s="2"/>
      <c r="B31" s="227">
        <v>29.0</v>
      </c>
      <c r="C31" s="226">
        <f t="shared" ref="C31:J31" si="113">ROUND(AVERAGE($B31/(1.0278-0.0278*C$2),$B31*C$2^0.1),1)</f>
        <v>30.5</v>
      </c>
      <c r="D31" s="226">
        <f t="shared" si="113"/>
        <v>31.5</v>
      </c>
      <c r="E31" s="226">
        <f t="shared" si="113"/>
        <v>32.5</v>
      </c>
      <c r="F31" s="227">
        <f t="shared" si="113"/>
        <v>33.3</v>
      </c>
      <c r="G31" s="226">
        <f t="shared" si="113"/>
        <v>34.2</v>
      </c>
      <c r="H31" s="226">
        <f t="shared" si="113"/>
        <v>35</v>
      </c>
      <c r="I31" s="227">
        <f t="shared" si="113"/>
        <v>35.9</v>
      </c>
      <c r="J31" s="226">
        <f t="shared" si="113"/>
        <v>36.7</v>
      </c>
      <c r="K31" s="227">
        <f t="shared" ref="K31:U31" si="114">ROUND(AVERAGE($B31*(1+0.0333*K$2),$B31*K$2^0.1),1)</f>
        <v>37.6</v>
      </c>
      <c r="L31" s="226">
        <f t="shared" si="114"/>
        <v>38.2</v>
      </c>
      <c r="M31" s="227">
        <f t="shared" si="114"/>
        <v>38.9</v>
      </c>
      <c r="N31" s="226">
        <f t="shared" si="114"/>
        <v>39.5</v>
      </c>
      <c r="O31" s="226">
        <f t="shared" si="114"/>
        <v>40.1</v>
      </c>
      <c r="P31" s="227">
        <f t="shared" si="114"/>
        <v>40.8</v>
      </c>
      <c r="Q31" s="226">
        <f t="shared" si="114"/>
        <v>41.4</v>
      </c>
      <c r="R31" s="226">
        <f t="shared" si="114"/>
        <v>42</v>
      </c>
      <c r="S31" s="227">
        <f t="shared" si="114"/>
        <v>42.6</v>
      </c>
      <c r="T31" s="226">
        <f t="shared" si="114"/>
        <v>43.1</v>
      </c>
      <c r="U31" s="226">
        <f t="shared" si="114"/>
        <v>43.7</v>
      </c>
      <c r="V31" s="2"/>
      <c r="W31" s="227">
        <v>68.0</v>
      </c>
      <c r="X31" s="226">
        <f t="shared" ref="X31:AE31" si="115">ROUND(AVERAGE($W31/(1.0278-0.0278*X$2),$W31*X$2^0.1),1)</f>
        <v>71.4</v>
      </c>
      <c r="Y31" s="226">
        <f t="shared" si="115"/>
        <v>73.9</v>
      </c>
      <c r="Z31" s="226">
        <f t="shared" si="115"/>
        <v>76.1</v>
      </c>
      <c r="AA31" s="227">
        <f t="shared" si="115"/>
        <v>78.2</v>
      </c>
      <c r="AB31" s="226">
        <f t="shared" si="115"/>
        <v>80.2</v>
      </c>
      <c r="AC31" s="226">
        <f t="shared" si="115"/>
        <v>82.1</v>
      </c>
      <c r="AD31" s="227">
        <f t="shared" si="115"/>
        <v>84.1</v>
      </c>
      <c r="AE31" s="226">
        <f t="shared" si="115"/>
        <v>86.1</v>
      </c>
      <c r="AF31" s="227">
        <f t="shared" ref="AF31:AP31" si="116">ROUND(AVERAGE($W31*(1+0.0333*K$2),$W31*K$2^0.1),1)</f>
        <v>88.1</v>
      </c>
      <c r="AG31" s="226">
        <f t="shared" si="116"/>
        <v>89.7</v>
      </c>
      <c r="AH31" s="227">
        <f t="shared" si="116"/>
        <v>91.2</v>
      </c>
      <c r="AI31" s="226">
        <f t="shared" si="116"/>
        <v>92.7</v>
      </c>
      <c r="AJ31" s="226">
        <f t="shared" si="116"/>
        <v>94.1</v>
      </c>
      <c r="AK31" s="227">
        <f t="shared" si="116"/>
        <v>95.6</v>
      </c>
      <c r="AL31" s="226">
        <f t="shared" si="116"/>
        <v>97</v>
      </c>
      <c r="AM31" s="226">
        <f t="shared" si="116"/>
        <v>98.4</v>
      </c>
      <c r="AN31" s="227">
        <f t="shared" si="116"/>
        <v>99.8</v>
      </c>
      <c r="AO31" s="226">
        <f t="shared" si="116"/>
        <v>101.2</v>
      </c>
      <c r="AP31" s="226">
        <f t="shared" si="116"/>
        <v>102.5</v>
      </c>
    </row>
    <row r="32" ht="14.25" customHeight="1">
      <c r="A32" s="2"/>
      <c r="B32" s="227">
        <v>30.0</v>
      </c>
      <c r="C32" s="226">
        <f t="shared" ref="C32:J32" si="117">ROUND(AVERAGE($B32/(1.0278-0.0278*C$2),$B32*C$2^0.1),1)</f>
        <v>31.5</v>
      </c>
      <c r="D32" s="226">
        <f t="shared" si="117"/>
        <v>32.6</v>
      </c>
      <c r="E32" s="226">
        <f t="shared" si="117"/>
        <v>33.6</v>
      </c>
      <c r="F32" s="227">
        <f t="shared" si="117"/>
        <v>34.5</v>
      </c>
      <c r="G32" s="226">
        <f t="shared" si="117"/>
        <v>35.4</v>
      </c>
      <c r="H32" s="226">
        <f t="shared" si="117"/>
        <v>36.2</v>
      </c>
      <c r="I32" s="227">
        <f t="shared" si="117"/>
        <v>37.1</v>
      </c>
      <c r="J32" s="226">
        <f t="shared" si="117"/>
        <v>38</v>
      </c>
      <c r="K32" s="227">
        <f t="shared" ref="K32:U32" si="118">ROUND(AVERAGE($B32*(1+0.0333*K$2),$B32*K$2^0.1),1)</f>
        <v>38.9</v>
      </c>
      <c r="L32" s="226">
        <f t="shared" si="118"/>
        <v>39.6</v>
      </c>
      <c r="M32" s="227">
        <f t="shared" si="118"/>
        <v>40.2</v>
      </c>
      <c r="N32" s="226">
        <f t="shared" si="118"/>
        <v>40.9</v>
      </c>
      <c r="O32" s="226">
        <f t="shared" si="118"/>
        <v>41.5</v>
      </c>
      <c r="P32" s="227">
        <f t="shared" si="118"/>
        <v>42.2</v>
      </c>
      <c r="Q32" s="226">
        <f t="shared" si="118"/>
        <v>42.8</v>
      </c>
      <c r="R32" s="226">
        <f t="shared" si="118"/>
        <v>43.4</v>
      </c>
      <c r="S32" s="227">
        <f t="shared" si="118"/>
        <v>44</v>
      </c>
      <c r="T32" s="226">
        <f t="shared" si="118"/>
        <v>44.6</v>
      </c>
      <c r="U32" s="226">
        <f t="shared" si="118"/>
        <v>45.2</v>
      </c>
      <c r="V32" s="2"/>
      <c r="W32" s="227">
        <v>69.0</v>
      </c>
      <c r="X32" s="226">
        <f t="shared" ref="X32:AE32" si="119">ROUND(AVERAGE($W32/(1.0278-0.0278*X$2),$W32*X$2^0.1),1)</f>
        <v>72.5</v>
      </c>
      <c r="Y32" s="226">
        <f t="shared" si="119"/>
        <v>75</v>
      </c>
      <c r="Z32" s="226">
        <f t="shared" si="119"/>
        <v>77.3</v>
      </c>
      <c r="AA32" s="227">
        <f t="shared" si="119"/>
        <v>79.3</v>
      </c>
      <c r="AB32" s="226">
        <f t="shared" si="119"/>
        <v>81.3</v>
      </c>
      <c r="AC32" s="226">
        <f t="shared" si="119"/>
        <v>83.3</v>
      </c>
      <c r="AD32" s="227">
        <f t="shared" si="119"/>
        <v>85.3</v>
      </c>
      <c r="AE32" s="226">
        <f t="shared" si="119"/>
        <v>87.3</v>
      </c>
      <c r="AF32" s="227">
        <f t="shared" ref="AF32:AP32" si="120">ROUND(AVERAGE($W32*(1+0.0333*K$2),$W32*K$2^0.1),1)</f>
        <v>89.4</v>
      </c>
      <c r="AG32" s="226">
        <f t="shared" si="120"/>
        <v>91</v>
      </c>
      <c r="AH32" s="227">
        <f t="shared" si="120"/>
        <v>92.5</v>
      </c>
      <c r="AI32" s="226">
        <f t="shared" si="120"/>
        <v>94</v>
      </c>
      <c r="AJ32" s="226">
        <f t="shared" si="120"/>
        <v>95.5</v>
      </c>
      <c r="AK32" s="227">
        <f t="shared" si="120"/>
        <v>97</v>
      </c>
      <c r="AL32" s="226">
        <f t="shared" si="120"/>
        <v>98.4</v>
      </c>
      <c r="AM32" s="226">
        <f t="shared" si="120"/>
        <v>99.8</v>
      </c>
      <c r="AN32" s="227">
        <f t="shared" si="120"/>
        <v>101.2</v>
      </c>
      <c r="AO32" s="226">
        <f t="shared" si="120"/>
        <v>102.6</v>
      </c>
      <c r="AP32" s="226">
        <f t="shared" si="120"/>
        <v>104</v>
      </c>
    </row>
    <row r="33" ht="14.25" customHeight="1">
      <c r="A33" s="2"/>
      <c r="B33" s="227">
        <v>31.0</v>
      </c>
      <c r="C33" s="226">
        <f t="shared" ref="C33:J33" si="121">ROUND(AVERAGE($B33/(1.0278-0.0278*C$2),$B33*C$2^0.1),1)</f>
        <v>32.6</v>
      </c>
      <c r="D33" s="226">
        <f t="shared" si="121"/>
        <v>33.7</v>
      </c>
      <c r="E33" s="226">
        <f t="shared" si="121"/>
        <v>34.7</v>
      </c>
      <c r="F33" s="227">
        <f t="shared" si="121"/>
        <v>35.6</v>
      </c>
      <c r="G33" s="226">
        <f t="shared" si="121"/>
        <v>36.5</v>
      </c>
      <c r="H33" s="226">
        <f t="shared" si="121"/>
        <v>37.4</v>
      </c>
      <c r="I33" s="227">
        <f t="shared" si="121"/>
        <v>38.3</v>
      </c>
      <c r="J33" s="226">
        <f t="shared" si="121"/>
        <v>39.2</v>
      </c>
      <c r="K33" s="227">
        <f t="shared" ref="K33:U33" si="122">ROUND(AVERAGE($B33*(1+0.0333*K$2),$B33*K$2^0.1),1)</f>
        <v>40.2</v>
      </c>
      <c r="L33" s="226">
        <f t="shared" si="122"/>
        <v>40.9</v>
      </c>
      <c r="M33" s="227">
        <f t="shared" si="122"/>
        <v>41.6</v>
      </c>
      <c r="N33" s="226">
        <f t="shared" si="122"/>
        <v>42.2</v>
      </c>
      <c r="O33" s="226">
        <f t="shared" si="122"/>
        <v>42.9</v>
      </c>
      <c r="P33" s="227">
        <f t="shared" si="122"/>
        <v>43.6</v>
      </c>
      <c r="Q33" s="226">
        <f t="shared" si="122"/>
        <v>44.2</v>
      </c>
      <c r="R33" s="226">
        <f t="shared" si="122"/>
        <v>44.9</v>
      </c>
      <c r="S33" s="227">
        <f t="shared" si="122"/>
        <v>45.5</v>
      </c>
      <c r="T33" s="226">
        <f t="shared" si="122"/>
        <v>46.1</v>
      </c>
      <c r="U33" s="226">
        <f t="shared" si="122"/>
        <v>46.7</v>
      </c>
      <c r="V33" s="2"/>
      <c r="W33" s="227">
        <v>70.0</v>
      </c>
      <c r="X33" s="226">
        <f t="shared" ref="X33:AE33" si="123">ROUND(AVERAGE($W33/(1.0278-0.0278*X$2),$W33*X$2^0.1),1)</f>
        <v>73.5</v>
      </c>
      <c r="Y33" s="226">
        <f t="shared" si="123"/>
        <v>76.1</v>
      </c>
      <c r="Z33" s="226">
        <f t="shared" si="123"/>
        <v>78.4</v>
      </c>
      <c r="AA33" s="227">
        <f t="shared" si="123"/>
        <v>80.5</v>
      </c>
      <c r="AB33" s="226">
        <f t="shared" si="123"/>
        <v>82.5</v>
      </c>
      <c r="AC33" s="226">
        <f t="shared" si="123"/>
        <v>84.5</v>
      </c>
      <c r="AD33" s="227">
        <f t="shared" si="123"/>
        <v>86.5</v>
      </c>
      <c r="AE33" s="226">
        <f t="shared" si="123"/>
        <v>88.6</v>
      </c>
      <c r="AF33" s="227">
        <f t="shared" ref="AF33:AP33" si="124">ROUND(AVERAGE($W33*(1+0.0333*K$2),$W33*K$2^0.1),1)</f>
        <v>90.7</v>
      </c>
      <c r="AG33" s="226">
        <f t="shared" si="124"/>
        <v>92.3</v>
      </c>
      <c r="AH33" s="227">
        <f t="shared" si="124"/>
        <v>93.9</v>
      </c>
      <c r="AI33" s="226">
        <f t="shared" si="124"/>
        <v>95.4</v>
      </c>
      <c r="AJ33" s="226">
        <f t="shared" si="124"/>
        <v>96.9</v>
      </c>
      <c r="AK33" s="227">
        <f t="shared" si="124"/>
        <v>98.4</v>
      </c>
      <c r="AL33" s="226">
        <f t="shared" si="124"/>
        <v>99.8</v>
      </c>
      <c r="AM33" s="226">
        <f t="shared" si="124"/>
        <v>101.3</v>
      </c>
      <c r="AN33" s="227">
        <f t="shared" si="124"/>
        <v>102.7</v>
      </c>
      <c r="AO33" s="226">
        <f t="shared" si="124"/>
        <v>104.1</v>
      </c>
      <c r="AP33" s="226">
        <f t="shared" si="124"/>
        <v>105.5</v>
      </c>
    </row>
    <row r="34" ht="14.25" customHeight="1">
      <c r="A34" s="2"/>
      <c r="B34" s="227">
        <v>32.0</v>
      </c>
      <c r="C34" s="226">
        <f t="shared" ref="C34:J34" si="125">ROUND(AVERAGE($B34/(1.0278-0.0278*C$2),$B34*C$2^0.1),1)</f>
        <v>33.6</v>
      </c>
      <c r="D34" s="226">
        <f t="shared" si="125"/>
        <v>34.8</v>
      </c>
      <c r="E34" s="226">
        <f t="shared" si="125"/>
        <v>35.8</v>
      </c>
      <c r="F34" s="227">
        <f t="shared" si="125"/>
        <v>36.8</v>
      </c>
      <c r="G34" s="226">
        <f t="shared" si="125"/>
        <v>37.7</v>
      </c>
      <c r="H34" s="226">
        <f t="shared" si="125"/>
        <v>38.6</v>
      </c>
      <c r="I34" s="227">
        <f t="shared" si="125"/>
        <v>39.6</v>
      </c>
      <c r="J34" s="226">
        <f t="shared" si="125"/>
        <v>40.5</v>
      </c>
      <c r="K34" s="227">
        <f t="shared" ref="K34:U34" si="126">ROUND(AVERAGE($B34*(1+0.0333*K$2),$B34*K$2^0.1),1)</f>
        <v>41.5</v>
      </c>
      <c r="L34" s="226">
        <f t="shared" si="126"/>
        <v>42.2</v>
      </c>
      <c r="M34" s="227">
        <f t="shared" si="126"/>
        <v>42.9</v>
      </c>
      <c r="N34" s="226">
        <f t="shared" si="126"/>
        <v>43.6</v>
      </c>
      <c r="O34" s="226">
        <f t="shared" si="126"/>
        <v>44.3</v>
      </c>
      <c r="P34" s="227">
        <f t="shared" si="126"/>
        <v>45</v>
      </c>
      <c r="Q34" s="226">
        <f t="shared" si="126"/>
        <v>45.6</v>
      </c>
      <c r="R34" s="226">
        <f t="shared" si="126"/>
        <v>46.3</v>
      </c>
      <c r="S34" s="227">
        <f t="shared" si="126"/>
        <v>47</v>
      </c>
      <c r="T34" s="226">
        <f t="shared" si="126"/>
        <v>47.6</v>
      </c>
      <c r="U34" s="226">
        <f t="shared" si="126"/>
        <v>48.2</v>
      </c>
      <c r="V34" s="2"/>
      <c r="W34" s="227">
        <v>71.0</v>
      </c>
      <c r="X34" s="226">
        <f t="shared" ref="X34:AE34" si="127">ROUND(AVERAGE($W34/(1.0278-0.0278*X$2),$W34*X$2^0.1),1)</f>
        <v>74.6</v>
      </c>
      <c r="Y34" s="226">
        <f t="shared" si="127"/>
        <v>77.2</v>
      </c>
      <c r="Z34" s="226">
        <f t="shared" si="127"/>
        <v>79.5</v>
      </c>
      <c r="AA34" s="227">
        <f t="shared" si="127"/>
        <v>81.6</v>
      </c>
      <c r="AB34" s="226">
        <f t="shared" si="127"/>
        <v>83.7</v>
      </c>
      <c r="AC34" s="226">
        <f t="shared" si="127"/>
        <v>85.7</v>
      </c>
      <c r="AD34" s="227">
        <f t="shared" si="127"/>
        <v>87.8</v>
      </c>
      <c r="AE34" s="226">
        <f t="shared" si="127"/>
        <v>89.9</v>
      </c>
      <c r="AF34" s="227">
        <f t="shared" ref="AF34:AP34" si="128">ROUND(AVERAGE($W34*(1+0.0333*K$2),$W34*K$2^0.1),1)</f>
        <v>92</v>
      </c>
      <c r="AG34" s="226">
        <f t="shared" si="128"/>
        <v>93.6</v>
      </c>
      <c r="AH34" s="227">
        <f t="shared" si="128"/>
        <v>95.2</v>
      </c>
      <c r="AI34" s="226">
        <f t="shared" si="128"/>
        <v>96.7</v>
      </c>
      <c r="AJ34" s="226">
        <f t="shared" si="128"/>
        <v>98.3</v>
      </c>
      <c r="AK34" s="227">
        <f t="shared" si="128"/>
        <v>99.8</v>
      </c>
      <c r="AL34" s="226">
        <f t="shared" si="128"/>
        <v>101.3</v>
      </c>
      <c r="AM34" s="226">
        <f t="shared" si="128"/>
        <v>102.7</v>
      </c>
      <c r="AN34" s="227">
        <f t="shared" si="128"/>
        <v>104.2</v>
      </c>
      <c r="AO34" s="226">
        <f t="shared" si="128"/>
        <v>105.6</v>
      </c>
      <c r="AP34" s="226">
        <f t="shared" si="128"/>
        <v>107</v>
      </c>
    </row>
    <row r="35" ht="14.25" customHeight="1">
      <c r="A35" s="2"/>
      <c r="B35" s="227">
        <v>33.0</v>
      </c>
      <c r="C35" s="226">
        <f t="shared" ref="C35:J35" si="129">ROUND(AVERAGE($B35/(1.0278-0.0278*C$2),$B35*C$2^0.1),1)</f>
        <v>34.7</v>
      </c>
      <c r="D35" s="226">
        <f t="shared" si="129"/>
        <v>35.9</v>
      </c>
      <c r="E35" s="226">
        <f t="shared" si="129"/>
        <v>37</v>
      </c>
      <c r="F35" s="227">
        <f t="shared" si="129"/>
        <v>37.9</v>
      </c>
      <c r="G35" s="226">
        <f t="shared" si="129"/>
        <v>38.9</v>
      </c>
      <c r="H35" s="226">
        <f t="shared" si="129"/>
        <v>39.8</v>
      </c>
      <c r="I35" s="227">
        <f t="shared" si="129"/>
        <v>40.8</v>
      </c>
      <c r="J35" s="226">
        <f t="shared" si="129"/>
        <v>41.8</v>
      </c>
      <c r="K35" s="227">
        <f t="shared" ref="K35:U35" si="130">ROUND(AVERAGE($B35*(1+0.0333*K$2),$B35*K$2^0.1),1)</f>
        <v>42.8</v>
      </c>
      <c r="L35" s="226">
        <f t="shared" si="130"/>
        <v>43.5</v>
      </c>
      <c r="M35" s="227">
        <f t="shared" si="130"/>
        <v>44.2</v>
      </c>
      <c r="N35" s="226">
        <f t="shared" si="130"/>
        <v>45</v>
      </c>
      <c r="O35" s="226">
        <f t="shared" si="130"/>
        <v>45.7</v>
      </c>
      <c r="P35" s="227">
        <f t="shared" si="130"/>
        <v>46.4</v>
      </c>
      <c r="Q35" s="226">
        <f t="shared" si="130"/>
        <v>47.1</v>
      </c>
      <c r="R35" s="226">
        <f t="shared" si="130"/>
        <v>47.7</v>
      </c>
      <c r="S35" s="227">
        <f t="shared" si="130"/>
        <v>48.4</v>
      </c>
      <c r="T35" s="226">
        <f t="shared" si="130"/>
        <v>49.1</v>
      </c>
      <c r="U35" s="226">
        <f t="shared" si="130"/>
        <v>49.8</v>
      </c>
      <c r="V35" s="2"/>
      <c r="W35" s="227">
        <v>72.0</v>
      </c>
      <c r="X35" s="226">
        <f t="shared" ref="X35:AE35" si="131">ROUND(AVERAGE($W35/(1.0278-0.0278*X$2),$W35*X$2^0.1),1)</f>
        <v>75.6</v>
      </c>
      <c r="Y35" s="226">
        <f t="shared" si="131"/>
        <v>78.3</v>
      </c>
      <c r="Z35" s="226">
        <f t="shared" si="131"/>
        <v>80.6</v>
      </c>
      <c r="AA35" s="227">
        <f t="shared" si="131"/>
        <v>82.8</v>
      </c>
      <c r="AB35" s="226">
        <f t="shared" si="131"/>
        <v>84.9</v>
      </c>
      <c r="AC35" s="226">
        <f t="shared" si="131"/>
        <v>86.9</v>
      </c>
      <c r="AD35" s="227">
        <f t="shared" si="131"/>
        <v>89</v>
      </c>
      <c r="AE35" s="226">
        <f t="shared" si="131"/>
        <v>91.1</v>
      </c>
      <c r="AF35" s="227">
        <f t="shared" ref="AF35:AP35" si="132">ROUND(AVERAGE($W35*(1+0.0333*K$2),$W35*K$2^0.1),1)</f>
        <v>93.3</v>
      </c>
      <c r="AG35" s="226">
        <f t="shared" si="132"/>
        <v>94.9</v>
      </c>
      <c r="AH35" s="227">
        <f t="shared" si="132"/>
        <v>96.5</v>
      </c>
      <c r="AI35" s="226">
        <f t="shared" si="132"/>
        <v>98.1</v>
      </c>
      <c r="AJ35" s="226">
        <f t="shared" si="132"/>
        <v>99.7</v>
      </c>
      <c r="AK35" s="227">
        <f t="shared" si="132"/>
        <v>101.2</v>
      </c>
      <c r="AL35" s="226">
        <f t="shared" si="132"/>
        <v>102.7</v>
      </c>
      <c r="AM35" s="226">
        <f t="shared" si="132"/>
        <v>104.2</v>
      </c>
      <c r="AN35" s="227">
        <f t="shared" si="132"/>
        <v>105.6</v>
      </c>
      <c r="AO35" s="226">
        <f t="shared" si="132"/>
        <v>107.1</v>
      </c>
      <c r="AP35" s="226">
        <f t="shared" si="132"/>
        <v>108.6</v>
      </c>
    </row>
    <row r="36" ht="14.25" customHeight="1">
      <c r="A36" s="2"/>
      <c r="B36" s="227">
        <v>34.0</v>
      </c>
      <c r="C36" s="226">
        <f t="shared" ref="C36:J36" si="133">ROUND(AVERAGE($B36/(1.0278-0.0278*C$2),$B36*C$2^0.1),1)</f>
        <v>35.7</v>
      </c>
      <c r="D36" s="226">
        <f t="shared" si="133"/>
        <v>37</v>
      </c>
      <c r="E36" s="226">
        <f t="shared" si="133"/>
        <v>38.1</v>
      </c>
      <c r="F36" s="227">
        <f t="shared" si="133"/>
        <v>39.1</v>
      </c>
      <c r="G36" s="226">
        <f t="shared" si="133"/>
        <v>40.1</v>
      </c>
      <c r="H36" s="226">
        <f t="shared" si="133"/>
        <v>41.1</v>
      </c>
      <c r="I36" s="227">
        <f t="shared" si="133"/>
        <v>42</v>
      </c>
      <c r="J36" s="226">
        <f t="shared" si="133"/>
        <v>43</v>
      </c>
      <c r="K36" s="227">
        <f t="shared" ref="K36:U36" si="134">ROUND(AVERAGE($B36*(1+0.0333*K$2),$B36*K$2^0.1),1)</f>
        <v>44.1</v>
      </c>
      <c r="L36" s="226">
        <f t="shared" si="134"/>
        <v>44.8</v>
      </c>
      <c r="M36" s="227">
        <f t="shared" si="134"/>
        <v>45.6</v>
      </c>
      <c r="N36" s="226">
        <f t="shared" si="134"/>
        <v>46.3</v>
      </c>
      <c r="O36" s="226">
        <f t="shared" si="134"/>
        <v>47.1</v>
      </c>
      <c r="P36" s="227">
        <f t="shared" si="134"/>
        <v>47.8</v>
      </c>
      <c r="Q36" s="226">
        <f t="shared" si="134"/>
        <v>48.5</v>
      </c>
      <c r="R36" s="226">
        <f t="shared" si="134"/>
        <v>49.2</v>
      </c>
      <c r="S36" s="227">
        <f t="shared" si="134"/>
        <v>49.9</v>
      </c>
      <c r="T36" s="226">
        <f t="shared" si="134"/>
        <v>50.6</v>
      </c>
      <c r="U36" s="226">
        <f t="shared" si="134"/>
        <v>51.3</v>
      </c>
      <c r="V36" s="2"/>
      <c r="W36" s="227">
        <v>73.0</v>
      </c>
      <c r="X36" s="226">
        <f t="shared" ref="X36:AE36" si="135">ROUND(AVERAGE($W36/(1.0278-0.0278*X$2),$W36*X$2^0.1),1)</f>
        <v>76.7</v>
      </c>
      <c r="Y36" s="226">
        <f t="shared" si="135"/>
        <v>79.4</v>
      </c>
      <c r="Z36" s="226">
        <f t="shared" si="135"/>
        <v>81.7</v>
      </c>
      <c r="AA36" s="227">
        <f t="shared" si="135"/>
        <v>83.9</v>
      </c>
      <c r="AB36" s="226">
        <f t="shared" si="135"/>
        <v>86.1</v>
      </c>
      <c r="AC36" s="226">
        <f t="shared" si="135"/>
        <v>88.1</v>
      </c>
      <c r="AD36" s="227">
        <f t="shared" si="135"/>
        <v>90.3</v>
      </c>
      <c r="AE36" s="226">
        <f t="shared" si="135"/>
        <v>92.4</v>
      </c>
      <c r="AF36" s="227">
        <f t="shared" ref="AF36:AP36" si="136">ROUND(AVERAGE($W36*(1+0.0333*K$2),$W36*K$2^0.1),1)</f>
        <v>94.6</v>
      </c>
      <c r="AG36" s="226">
        <f t="shared" si="136"/>
        <v>96.3</v>
      </c>
      <c r="AH36" s="227">
        <f t="shared" si="136"/>
        <v>97.9</v>
      </c>
      <c r="AI36" s="226">
        <f t="shared" si="136"/>
        <v>99.5</v>
      </c>
      <c r="AJ36" s="226">
        <f t="shared" si="136"/>
        <v>101</v>
      </c>
      <c r="AK36" s="227">
        <f t="shared" si="136"/>
        <v>102.6</v>
      </c>
      <c r="AL36" s="226">
        <f t="shared" si="136"/>
        <v>104.1</v>
      </c>
      <c r="AM36" s="226">
        <f t="shared" si="136"/>
        <v>105.6</v>
      </c>
      <c r="AN36" s="227">
        <f t="shared" si="136"/>
        <v>107.1</v>
      </c>
      <c r="AO36" s="226">
        <f t="shared" si="136"/>
        <v>108.6</v>
      </c>
      <c r="AP36" s="226">
        <f t="shared" si="136"/>
        <v>110.1</v>
      </c>
    </row>
    <row r="37" ht="14.25" customHeight="1">
      <c r="A37" s="2"/>
      <c r="B37" s="227">
        <v>35.0</v>
      </c>
      <c r="C37" s="226">
        <f t="shared" ref="C37:J37" si="137">ROUND(AVERAGE($B37/(1.0278-0.0278*C$2),$B37*C$2^0.1),1)</f>
        <v>36.8</v>
      </c>
      <c r="D37" s="226">
        <f t="shared" si="137"/>
        <v>38.1</v>
      </c>
      <c r="E37" s="226">
        <f t="shared" si="137"/>
        <v>39.2</v>
      </c>
      <c r="F37" s="227">
        <f t="shared" si="137"/>
        <v>40.2</v>
      </c>
      <c r="G37" s="226">
        <f t="shared" si="137"/>
        <v>41.3</v>
      </c>
      <c r="H37" s="226">
        <f t="shared" si="137"/>
        <v>42.3</v>
      </c>
      <c r="I37" s="227">
        <f t="shared" si="137"/>
        <v>43.3</v>
      </c>
      <c r="J37" s="226">
        <f t="shared" si="137"/>
        <v>44.3</v>
      </c>
      <c r="K37" s="227">
        <f t="shared" ref="K37:U37" si="138">ROUND(AVERAGE($B37*(1+0.0333*K$2),$B37*K$2^0.1),1)</f>
        <v>45.4</v>
      </c>
      <c r="L37" s="226">
        <f t="shared" si="138"/>
        <v>46.2</v>
      </c>
      <c r="M37" s="227">
        <f t="shared" si="138"/>
        <v>46.9</v>
      </c>
      <c r="N37" s="226">
        <f t="shared" si="138"/>
        <v>47.7</v>
      </c>
      <c r="O37" s="226">
        <f t="shared" si="138"/>
        <v>48.4</v>
      </c>
      <c r="P37" s="227">
        <f t="shared" si="138"/>
        <v>49.2</v>
      </c>
      <c r="Q37" s="226">
        <f t="shared" si="138"/>
        <v>49.9</v>
      </c>
      <c r="R37" s="226">
        <f t="shared" si="138"/>
        <v>50.6</v>
      </c>
      <c r="S37" s="227">
        <f t="shared" si="138"/>
        <v>51.4</v>
      </c>
      <c r="T37" s="226">
        <f t="shared" si="138"/>
        <v>52.1</v>
      </c>
      <c r="U37" s="226">
        <f t="shared" si="138"/>
        <v>52.8</v>
      </c>
      <c r="V37" s="2"/>
      <c r="W37" s="227">
        <v>74.0</v>
      </c>
      <c r="X37" s="226">
        <f t="shared" ref="X37:AE37" si="139">ROUND(AVERAGE($W37/(1.0278-0.0278*X$2),$W37*X$2^0.1),1)</f>
        <v>77.7</v>
      </c>
      <c r="Y37" s="226">
        <f t="shared" si="139"/>
        <v>80.5</v>
      </c>
      <c r="Z37" s="226">
        <f t="shared" si="139"/>
        <v>82.9</v>
      </c>
      <c r="AA37" s="227">
        <f t="shared" si="139"/>
        <v>85.1</v>
      </c>
      <c r="AB37" s="226">
        <f t="shared" si="139"/>
        <v>87.2</v>
      </c>
      <c r="AC37" s="226">
        <f t="shared" si="139"/>
        <v>89.4</v>
      </c>
      <c r="AD37" s="227">
        <f t="shared" si="139"/>
        <v>91.5</v>
      </c>
      <c r="AE37" s="226">
        <f t="shared" si="139"/>
        <v>93.7</v>
      </c>
      <c r="AF37" s="227">
        <f t="shared" ref="AF37:AP37" si="140">ROUND(AVERAGE($W37*(1+0.0333*K$2),$W37*K$2^0.1),1)</f>
        <v>95.9</v>
      </c>
      <c r="AG37" s="226">
        <f t="shared" si="140"/>
        <v>97.6</v>
      </c>
      <c r="AH37" s="227">
        <f t="shared" si="140"/>
        <v>99.2</v>
      </c>
      <c r="AI37" s="226">
        <f t="shared" si="140"/>
        <v>100.8</v>
      </c>
      <c r="AJ37" s="226">
        <f t="shared" si="140"/>
        <v>102.4</v>
      </c>
      <c r="AK37" s="227">
        <f t="shared" si="140"/>
        <v>104</v>
      </c>
      <c r="AL37" s="226">
        <f t="shared" si="140"/>
        <v>105.5</v>
      </c>
      <c r="AM37" s="226">
        <f t="shared" si="140"/>
        <v>107.1</v>
      </c>
      <c r="AN37" s="227">
        <f t="shared" si="140"/>
        <v>108.6</v>
      </c>
      <c r="AO37" s="226">
        <f t="shared" si="140"/>
        <v>110.1</v>
      </c>
      <c r="AP37" s="226">
        <f t="shared" si="140"/>
        <v>111.6</v>
      </c>
    </row>
    <row r="38" ht="14.25" customHeight="1">
      <c r="A38" s="2"/>
      <c r="B38" s="227">
        <v>36.0</v>
      </c>
      <c r="C38" s="226">
        <f t="shared" ref="C38:J38" si="141">ROUND(AVERAGE($B38/(1.0278-0.0278*C$2),$B38*C$2^0.1),1)</f>
        <v>37.8</v>
      </c>
      <c r="D38" s="226">
        <f t="shared" si="141"/>
        <v>39.1</v>
      </c>
      <c r="E38" s="226">
        <f t="shared" si="141"/>
        <v>40.3</v>
      </c>
      <c r="F38" s="227">
        <f t="shared" si="141"/>
        <v>41.4</v>
      </c>
      <c r="G38" s="226">
        <f t="shared" si="141"/>
        <v>42.4</v>
      </c>
      <c r="H38" s="226">
        <f t="shared" si="141"/>
        <v>43.5</v>
      </c>
      <c r="I38" s="227">
        <f t="shared" si="141"/>
        <v>44.5</v>
      </c>
      <c r="J38" s="226">
        <f t="shared" si="141"/>
        <v>45.6</v>
      </c>
      <c r="K38" s="227">
        <f t="shared" ref="K38:U38" si="142">ROUND(AVERAGE($B38*(1+0.0333*K$2),$B38*K$2^0.1),1)</f>
        <v>46.7</v>
      </c>
      <c r="L38" s="226">
        <f t="shared" si="142"/>
        <v>47.5</v>
      </c>
      <c r="M38" s="227">
        <f t="shared" si="142"/>
        <v>48.3</v>
      </c>
      <c r="N38" s="226">
        <f t="shared" si="142"/>
        <v>49.1</v>
      </c>
      <c r="O38" s="226">
        <f t="shared" si="142"/>
        <v>49.8</v>
      </c>
      <c r="P38" s="227">
        <f t="shared" si="142"/>
        <v>50.6</v>
      </c>
      <c r="Q38" s="226">
        <f t="shared" si="142"/>
        <v>51.3</v>
      </c>
      <c r="R38" s="226">
        <f t="shared" si="142"/>
        <v>52.1</v>
      </c>
      <c r="S38" s="227">
        <f t="shared" si="142"/>
        <v>52.8</v>
      </c>
      <c r="T38" s="226">
        <f t="shared" si="142"/>
        <v>53.6</v>
      </c>
      <c r="U38" s="226">
        <f t="shared" si="142"/>
        <v>54.3</v>
      </c>
      <c r="V38" s="2"/>
      <c r="W38" s="227">
        <v>75.0</v>
      </c>
      <c r="X38" s="226">
        <f t="shared" ref="X38:AE38" si="143">ROUND(AVERAGE($W38/(1.0278-0.0278*X$2),$W38*X$2^0.1),1)</f>
        <v>78.8</v>
      </c>
      <c r="Y38" s="226">
        <f t="shared" si="143"/>
        <v>81.6</v>
      </c>
      <c r="Z38" s="226">
        <f t="shared" si="143"/>
        <v>84</v>
      </c>
      <c r="AA38" s="227">
        <f t="shared" si="143"/>
        <v>86.2</v>
      </c>
      <c r="AB38" s="226">
        <f t="shared" si="143"/>
        <v>88.4</v>
      </c>
      <c r="AC38" s="226">
        <f t="shared" si="143"/>
        <v>90.6</v>
      </c>
      <c r="AD38" s="227">
        <f t="shared" si="143"/>
        <v>92.7</v>
      </c>
      <c r="AE38" s="226">
        <f t="shared" si="143"/>
        <v>94.9</v>
      </c>
      <c r="AF38" s="227">
        <f t="shared" ref="AF38:AP38" si="144">ROUND(AVERAGE($W38*(1+0.0333*K$2),$W38*K$2^0.1),1)</f>
        <v>97.2</v>
      </c>
      <c r="AG38" s="226">
        <f t="shared" si="144"/>
        <v>98.9</v>
      </c>
      <c r="AH38" s="227">
        <f t="shared" si="144"/>
        <v>100.6</v>
      </c>
      <c r="AI38" s="226">
        <f t="shared" si="144"/>
        <v>102.2</v>
      </c>
      <c r="AJ38" s="226">
        <f t="shared" si="144"/>
        <v>103.8</v>
      </c>
      <c r="AK38" s="227">
        <f t="shared" si="144"/>
        <v>105.4</v>
      </c>
      <c r="AL38" s="226">
        <f t="shared" si="144"/>
        <v>107</v>
      </c>
      <c r="AM38" s="226">
        <f t="shared" si="144"/>
        <v>108.5</v>
      </c>
      <c r="AN38" s="227">
        <f t="shared" si="144"/>
        <v>110</v>
      </c>
      <c r="AO38" s="226">
        <f t="shared" si="144"/>
        <v>111.6</v>
      </c>
      <c r="AP38" s="226">
        <f t="shared" si="144"/>
        <v>113.1</v>
      </c>
    </row>
    <row r="39" ht="14.25" customHeight="1">
      <c r="A39" s="2"/>
      <c r="B39" s="227">
        <v>37.0</v>
      </c>
      <c r="C39" s="226">
        <f t="shared" ref="C39:J39" si="145">ROUND(AVERAGE($B39/(1.0278-0.0278*C$2),$B39*C$2^0.1),1)</f>
        <v>38.9</v>
      </c>
      <c r="D39" s="226">
        <f t="shared" si="145"/>
        <v>40.2</v>
      </c>
      <c r="E39" s="226">
        <f t="shared" si="145"/>
        <v>41.4</v>
      </c>
      <c r="F39" s="227">
        <f t="shared" si="145"/>
        <v>42.5</v>
      </c>
      <c r="G39" s="226">
        <f t="shared" si="145"/>
        <v>43.6</v>
      </c>
      <c r="H39" s="226">
        <f t="shared" si="145"/>
        <v>44.7</v>
      </c>
      <c r="I39" s="227">
        <f t="shared" si="145"/>
        <v>45.7</v>
      </c>
      <c r="J39" s="226">
        <f t="shared" si="145"/>
        <v>46.8</v>
      </c>
      <c r="K39" s="227">
        <f t="shared" ref="K39:U39" si="146">ROUND(AVERAGE($B39*(1+0.0333*K$2),$B39*K$2^0.1),1)</f>
        <v>48</v>
      </c>
      <c r="L39" s="226">
        <f t="shared" si="146"/>
        <v>48.8</v>
      </c>
      <c r="M39" s="227">
        <f t="shared" si="146"/>
        <v>49.6</v>
      </c>
      <c r="N39" s="226">
        <f t="shared" si="146"/>
        <v>50.4</v>
      </c>
      <c r="O39" s="226">
        <f t="shared" si="146"/>
        <v>51.2</v>
      </c>
      <c r="P39" s="227">
        <f t="shared" si="146"/>
        <v>52</v>
      </c>
      <c r="Q39" s="226">
        <f t="shared" si="146"/>
        <v>52.8</v>
      </c>
      <c r="R39" s="226">
        <f t="shared" si="146"/>
        <v>53.5</v>
      </c>
      <c r="S39" s="227">
        <f t="shared" si="146"/>
        <v>54.3</v>
      </c>
      <c r="T39" s="226">
        <f t="shared" si="146"/>
        <v>55</v>
      </c>
      <c r="U39" s="226">
        <f t="shared" si="146"/>
        <v>55.8</v>
      </c>
      <c r="V39" s="2"/>
      <c r="W39" s="227">
        <v>76.0</v>
      </c>
      <c r="X39" s="226">
        <f t="shared" ref="X39:AE39" si="147">ROUND(AVERAGE($W39/(1.0278-0.0278*X$2),$W39*X$2^0.1),1)</f>
        <v>79.8</v>
      </c>
      <c r="Y39" s="226">
        <f t="shared" si="147"/>
        <v>82.6</v>
      </c>
      <c r="Z39" s="226">
        <f t="shared" si="147"/>
        <v>85.1</v>
      </c>
      <c r="AA39" s="227">
        <f t="shared" si="147"/>
        <v>87.4</v>
      </c>
      <c r="AB39" s="226">
        <f t="shared" si="147"/>
        <v>89.6</v>
      </c>
      <c r="AC39" s="226">
        <f t="shared" si="147"/>
        <v>91.8</v>
      </c>
      <c r="AD39" s="227">
        <f t="shared" si="147"/>
        <v>94</v>
      </c>
      <c r="AE39" s="226">
        <f t="shared" si="147"/>
        <v>96.2</v>
      </c>
      <c r="AF39" s="227">
        <f t="shared" ref="AF39:AP39" si="148">ROUND(AVERAGE($W39*(1+0.0333*K$2),$W39*K$2^0.1),1)</f>
        <v>98.5</v>
      </c>
      <c r="AG39" s="226">
        <f t="shared" si="148"/>
        <v>100.2</v>
      </c>
      <c r="AH39" s="227">
        <f t="shared" si="148"/>
        <v>101.9</v>
      </c>
      <c r="AI39" s="226">
        <f t="shared" si="148"/>
        <v>103.6</v>
      </c>
      <c r="AJ39" s="226">
        <f t="shared" si="148"/>
        <v>105.2</v>
      </c>
      <c r="AK39" s="227">
        <f t="shared" si="148"/>
        <v>106.8</v>
      </c>
      <c r="AL39" s="226">
        <f t="shared" si="148"/>
        <v>108.4</v>
      </c>
      <c r="AM39" s="226">
        <f t="shared" si="148"/>
        <v>110</v>
      </c>
      <c r="AN39" s="227">
        <f t="shared" si="148"/>
        <v>111.5</v>
      </c>
      <c r="AO39" s="226">
        <f t="shared" si="148"/>
        <v>113.1</v>
      </c>
      <c r="AP39" s="226">
        <f t="shared" si="148"/>
        <v>114.6</v>
      </c>
    </row>
    <row r="40" ht="14.25" customHeight="1">
      <c r="A40" s="2"/>
      <c r="B40" s="227">
        <v>38.0</v>
      </c>
      <c r="C40" s="226">
        <f t="shared" ref="C40:J40" si="149">ROUND(AVERAGE($B40/(1.0278-0.0278*C$2),$B40*C$2^0.1),1)</f>
        <v>39.9</v>
      </c>
      <c r="D40" s="226">
        <f t="shared" si="149"/>
        <v>41.3</v>
      </c>
      <c r="E40" s="226">
        <f t="shared" si="149"/>
        <v>42.6</v>
      </c>
      <c r="F40" s="227">
        <f t="shared" si="149"/>
        <v>43.7</v>
      </c>
      <c r="G40" s="226">
        <f t="shared" si="149"/>
        <v>44.8</v>
      </c>
      <c r="H40" s="226">
        <f t="shared" si="149"/>
        <v>45.9</v>
      </c>
      <c r="I40" s="227">
        <f t="shared" si="149"/>
        <v>47</v>
      </c>
      <c r="J40" s="226">
        <f t="shared" si="149"/>
        <v>48.1</v>
      </c>
      <c r="K40" s="227">
        <f t="shared" ref="K40:U40" si="150">ROUND(AVERAGE($B40*(1+0.0333*K$2),$B40*K$2^0.1),1)</f>
        <v>49.2</v>
      </c>
      <c r="L40" s="226">
        <f t="shared" si="150"/>
        <v>50.1</v>
      </c>
      <c r="M40" s="227">
        <f t="shared" si="150"/>
        <v>51</v>
      </c>
      <c r="N40" s="226">
        <f t="shared" si="150"/>
        <v>51.8</v>
      </c>
      <c r="O40" s="226">
        <f t="shared" si="150"/>
        <v>52.6</v>
      </c>
      <c r="P40" s="227">
        <f t="shared" si="150"/>
        <v>53.4</v>
      </c>
      <c r="Q40" s="226">
        <f t="shared" si="150"/>
        <v>54.2</v>
      </c>
      <c r="R40" s="226">
        <f t="shared" si="150"/>
        <v>55</v>
      </c>
      <c r="S40" s="227">
        <f t="shared" si="150"/>
        <v>55.8</v>
      </c>
      <c r="T40" s="226">
        <f t="shared" si="150"/>
        <v>56.5</v>
      </c>
      <c r="U40" s="226">
        <f t="shared" si="150"/>
        <v>57.3</v>
      </c>
      <c r="V40" s="2"/>
      <c r="W40" s="227">
        <v>77.0</v>
      </c>
      <c r="X40" s="226">
        <f t="shared" ref="X40:AE40" si="151">ROUND(AVERAGE($W40/(1.0278-0.0278*X$2),$W40*X$2^0.1),1)</f>
        <v>80.9</v>
      </c>
      <c r="Y40" s="226">
        <f t="shared" si="151"/>
        <v>83.7</v>
      </c>
      <c r="Z40" s="226">
        <f t="shared" si="151"/>
        <v>86.2</v>
      </c>
      <c r="AA40" s="227">
        <f t="shared" si="151"/>
        <v>88.5</v>
      </c>
      <c r="AB40" s="226">
        <f t="shared" si="151"/>
        <v>90.8</v>
      </c>
      <c r="AC40" s="226">
        <f t="shared" si="151"/>
        <v>93</v>
      </c>
      <c r="AD40" s="227">
        <f t="shared" si="151"/>
        <v>95.2</v>
      </c>
      <c r="AE40" s="226">
        <f t="shared" si="151"/>
        <v>97.5</v>
      </c>
      <c r="AF40" s="227">
        <f t="shared" ref="AF40:AP40" si="152">ROUND(AVERAGE($W40*(1+0.0333*K$2),$W40*K$2^0.1),1)</f>
        <v>99.8</v>
      </c>
      <c r="AG40" s="226">
        <f t="shared" si="152"/>
        <v>101.5</v>
      </c>
      <c r="AH40" s="227">
        <f t="shared" si="152"/>
        <v>103.2</v>
      </c>
      <c r="AI40" s="226">
        <f t="shared" si="152"/>
        <v>104.9</v>
      </c>
      <c r="AJ40" s="226">
        <f t="shared" si="152"/>
        <v>106.6</v>
      </c>
      <c r="AK40" s="227">
        <f t="shared" si="152"/>
        <v>108.2</v>
      </c>
      <c r="AL40" s="226">
        <f t="shared" si="152"/>
        <v>109.8</v>
      </c>
      <c r="AM40" s="226">
        <f t="shared" si="152"/>
        <v>111.4</v>
      </c>
      <c r="AN40" s="227">
        <f t="shared" si="152"/>
        <v>113</v>
      </c>
      <c r="AO40" s="226">
        <f t="shared" si="152"/>
        <v>114.5</v>
      </c>
      <c r="AP40" s="226">
        <f t="shared" si="152"/>
        <v>116.1</v>
      </c>
    </row>
    <row r="41" ht="14.25" customHeight="1">
      <c r="A41" s="2"/>
      <c r="B41" s="227">
        <v>39.0</v>
      </c>
      <c r="C41" s="226">
        <f t="shared" ref="C41:J41" si="153">ROUND(AVERAGE($B41/(1.0278-0.0278*C$2),$B41*C$2^0.1),1)</f>
        <v>41</v>
      </c>
      <c r="D41" s="226">
        <f t="shared" si="153"/>
        <v>42.4</v>
      </c>
      <c r="E41" s="226">
        <f t="shared" si="153"/>
        <v>43.7</v>
      </c>
      <c r="F41" s="227">
        <f t="shared" si="153"/>
        <v>44.8</v>
      </c>
      <c r="G41" s="226">
        <f t="shared" si="153"/>
        <v>46</v>
      </c>
      <c r="H41" s="226">
        <f t="shared" si="153"/>
        <v>47.1</v>
      </c>
      <c r="I41" s="227">
        <f t="shared" si="153"/>
        <v>48.2</v>
      </c>
      <c r="J41" s="226">
        <f t="shared" si="153"/>
        <v>49.4</v>
      </c>
      <c r="K41" s="227">
        <f t="shared" ref="K41:U41" si="154">ROUND(AVERAGE($B41*(1+0.0333*K$2),$B41*K$2^0.1),1)</f>
        <v>50.5</v>
      </c>
      <c r="L41" s="226">
        <f t="shared" si="154"/>
        <v>51.4</v>
      </c>
      <c r="M41" s="227">
        <f t="shared" si="154"/>
        <v>52.3</v>
      </c>
      <c r="N41" s="226">
        <f t="shared" si="154"/>
        <v>53.1</v>
      </c>
      <c r="O41" s="226">
        <f t="shared" si="154"/>
        <v>54</v>
      </c>
      <c r="P41" s="227">
        <f t="shared" si="154"/>
        <v>54.8</v>
      </c>
      <c r="Q41" s="226">
        <f t="shared" si="154"/>
        <v>55.6</v>
      </c>
      <c r="R41" s="226">
        <f t="shared" si="154"/>
        <v>56.4</v>
      </c>
      <c r="S41" s="227">
        <f t="shared" si="154"/>
        <v>57.2</v>
      </c>
      <c r="T41" s="226">
        <f t="shared" si="154"/>
        <v>58</v>
      </c>
      <c r="U41" s="226">
        <f t="shared" si="154"/>
        <v>58.8</v>
      </c>
      <c r="V41" s="2"/>
      <c r="W41" s="227">
        <v>78.0</v>
      </c>
      <c r="X41" s="226">
        <f t="shared" ref="X41:AE41" si="155">ROUND(AVERAGE($W41/(1.0278-0.0278*X$2),$W41*X$2^0.1),1)</f>
        <v>81.9</v>
      </c>
      <c r="Y41" s="226">
        <f t="shared" si="155"/>
        <v>84.8</v>
      </c>
      <c r="Z41" s="226">
        <f t="shared" si="155"/>
        <v>87.3</v>
      </c>
      <c r="AA41" s="227">
        <f t="shared" si="155"/>
        <v>89.7</v>
      </c>
      <c r="AB41" s="226">
        <f t="shared" si="155"/>
        <v>91.9</v>
      </c>
      <c r="AC41" s="226">
        <f t="shared" si="155"/>
        <v>94.2</v>
      </c>
      <c r="AD41" s="227">
        <f t="shared" si="155"/>
        <v>96.4</v>
      </c>
      <c r="AE41" s="226">
        <f t="shared" si="155"/>
        <v>98.7</v>
      </c>
      <c r="AF41" s="227">
        <f t="shared" ref="AF41:AP41" si="156">ROUND(AVERAGE($W41*(1+0.0333*K$2),$W41*K$2^0.1),1)</f>
        <v>101.1</v>
      </c>
      <c r="AG41" s="226">
        <f t="shared" si="156"/>
        <v>102.9</v>
      </c>
      <c r="AH41" s="227">
        <f t="shared" si="156"/>
        <v>104.6</v>
      </c>
      <c r="AI41" s="226">
        <f t="shared" si="156"/>
        <v>106.3</v>
      </c>
      <c r="AJ41" s="226">
        <f t="shared" si="156"/>
        <v>108</v>
      </c>
      <c r="AK41" s="227">
        <f t="shared" si="156"/>
        <v>109.6</v>
      </c>
      <c r="AL41" s="226">
        <f t="shared" si="156"/>
        <v>111.2</v>
      </c>
      <c r="AM41" s="226">
        <f t="shared" si="156"/>
        <v>112.9</v>
      </c>
      <c r="AN41" s="227">
        <f t="shared" si="156"/>
        <v>114.4</v>
      </c>
      <c r="AO41" s="226">
        <f t="shared" si="156"/>
        <v>116</v>
      </c>
      <c r="AP41" s="226">
        <f t="shared" si="156"/>
        <v>117.6</v>
      </c>
    </row>
    <row r="42" ht="14.25" customHeight="1">
      <c r="A42" s="2"/>
      <c r="B42" s="227">
        <v>40.0</v>
      </c>
      <c r="C42" s="226">
        <f t="shared" ref="C42:J42" si="157">ROUND(AVERAGE($B42/(1.0278-0.0278*C$2),$B42*C$2^0.1),1)</f>
        <v>42</v>
      </c>
      <c r="D42" s="226">
        <f t="shared" si="157"/>
        <v>43.5</v>
      </c>
      <c r="E42" s="226">
        <f t="shared" si="157"/>
        <v>44.8</v>
      </c>
      <c r="F42" s="227">
        <f t="shared" si="157"/>
        <v>46</v>
      </c>
      <c r="G42" s="226">
        <f t="shared" si="157"/>
        <v>47.2</v>
      </c>
      <c r="H42" s="226">
        <f t="shared" si="157"/>
        <v>48.3</v>
      </c>
      <c r="I42" s="227">
        <f t="shared" si="157"/>
        <v>49.5</v>
      </c>
      <c r="J42" s="226">
        <f t="shared" si="157"/>
        <v>50.6</v>
      </c>
      <c r="K42" s="227">
        <f t="shared" ref="K42:U42" si="158">ROUND(AVERAGE($B42*(1+0.0333*K$2),$B42*K$2^0.1),1)</f>
        <v>51.8</v>
      </c>
      <c r="L42" s="226">
        <f t="shared" si="158"/>
        <v>52.7</v>
      </c>
      <c r="M42" s="227">
        <f t="shared" si="158"/>
        <v>53.6</v>
      </c>
      <c r="N42" s="226">
        <f t="shared" si="158"/>
        <v>54.5</v>
      </c>
      <c r="O42" s="226">
        <f t="shared" si="158"/>
        <v>55.4</v>
      </c>
      <c r="P42" s="227">
        <f t="shared" si="158"/>
        <v>56.2</v>
      </c>
      <c r="Q42" s="226">
        <f t="shared" si="158"/>
        <v>57</v>
      </c>
      <c r="R42" s="226">
        <f t="shared" si="158"/>
        <v>57.9</v>
      </c>
      <c r="S42" s="227">
        <f t="shared" si="158"/>
        <v>58.7</v>
      </c>
      <c r="T42" s="226">
        <f t="shared" si="158"/>
        <v>59.5</v>
      </c>
      <c r="U42" s="226">
        <f t="shared" si="158"/>
        <v>60.3</v>
      </c>
      <c r="V42" s="2"/>
      <c r="W42" s="227">
        <v>79.0</v>
      </c>
      <c r="X42" s="226">
        <f t="shared" ref="X42:AE42" si="159">ROUND(AVERAGE($W42/(1.0278-0.0278*X$2),$W42*X$2^0.1),1)</f>
        <v>83</v>
      </c>
      <c r="Y42" s="226">
        <f t="shared" si="159"/>
        <v>85.9</v>
      </c>
      <c r="Z42" s="226">
        <f t="shared" si="159"/>
        <v>88.5</v>
      </c>
      <c r="AA42" s="227">
        <f t="shared" si="159"/>
        <v>90.8</v>
      </c>
      <c r="AB42" s="226">
        <f t="shared" si="159"/>
        <v>93.1</v>
      </c>
      <c r="AC42" s="226">
        <f t="shared" si="159"/>
        <v>95.4</v>
      </c>
      <c r="AD42" s="227">
        <f t="shared" si="159"/>
        <v>97.7</v>
      </c>
      <c r="AE42" s="226">
        <f t="shared" si="159"/>
        <v>100</v>
      </c>
      <c r="AF42" s="227">
        <f t="shared" ref="AF42:AP42" si="160">ROUND(AVERAGE($W42*(1+0.0333*K$2),$W42*K$2^0.1),1)</f>
        <v>102.4</v>
      </c>
      <c r="AG42" s="226">
        <f t="shared" si="160"/>
        <v>104.2</v>
      </c>
      <c r="AH42" s="227">
        <f t="shared" si="160"/>
        <v>105.9</v>
      </c>
      <c r="AI42" s="226">
        <f t="shared" si="160"/>
        <v>107.6</v>
      </c>
      <c r="AJ42" s="226">
        <f t="shared" si="160"/>
        <v>109.3</v>
      </c>
      <c r="AK42" s="227">
        <f t="shared" si="160"/>
        <v>111</v>
      </c>
      <c r="AL42" s="226">
        <f t="shared" si="160"/>
        <v>112.7</v>
      </c>
      <c r="AM42" s="226">
        <f t="shared" si="160"/>
        <v>114.3</v>
      </c>
      <c r="AN42" s="227">
        <f t="shared" si="160"/>
        <v>115.9</v>
      </c>
      <c r="AO42" s="226">
        <f t="shared" si="160"/>
        <v>117.5</v>
      </c>
      <c r="AP42" s="226">
        <f t="shared" si="160"/>
        <v>119.1</v>
      </c>
    </row>
    <row r="43" ht="12.75" customHeight="1">
      <c r="A43" s="2"/>
      <c r="B43" s="227">
        <v>41.0</v>
      </c>
      <c r="C43" s="226">
        <v>43.1</v>
      </c>
      <c r="D43" s="226">
        <v>44.6</v>
      </c>
      <c r="E43" s="226">
        <v>45.9</v>
      </c>
      <c r="F43" s="227">
        <v>47.1</v>
      </c>
      <c r="G43" s="226">
        <v>48.3</v>
      </c>
      <c r="H43" s="226">
        <v>49.5</v>
      </c>
      <c r="I43" s="227">
        <v>50.7</v>
      </c>
      <c r="J43" s="226">
        <v>51.9</v>
      </c>
      <c r="K43" s="227">
        <v>53.1</v>
      </c>
      <c r="L43" s="226">
        <v>54.1</v>
      </c>
      <c r="M43" s="227">
        <v>55.0</v>
      </c>
      <c r="N43" s="226">
        <v>55.9</v>
      </c>
      <c r="O43" s="226">
        <v>56.7</v>
      </c>
      <c r="P43" s="227">
        <v>57.6</v>
      </c>
      <c r="Q43" s="226">
        <v>58.5</v>
      </c>
      <c r="R43" s="226">
        <v>59.3</v>
      </c>
      <c r="S43" s="227">
        <v>60.2</v>
      </c>
      <c r="T43" s="226">
        <v>61.0</v>
      </c>
      <c r="U43" s="226">
        <v>61.8</v>
      </c>
      <c r="V43" s="2"/>
      <c r="W43" s="227">
        <v>80.0</v>
      </c>
      <c r="X43" s="226">
        <f t="shared" ref="X43:AE43" si="161">ROUND(AVERAGE($W43/(1.0278-0.0278*X$2),$W43*X$2^0.1),1)</f>
        <v>84</v>
      </c>
      <c r="Y43" s="226">
        <f t="shared" si="161"/>
        <v>87</v>
      </c>
      <c r="Z43" s="226">
        <f t="shared" si="161"/>
        <v>89.6</v>
      </c>
      <c r="AA43" s="227">
        <f t="shared" si="161"/>
        <v>92</v>
      </c>
      <c r="AB43" s="226">
        <f t="shared" si="161"/>
        <v>94.3</v>
      </c>
      <c r="AC43" s="226">
        <f t="shared" si="161"/>
        <v>96.6</v>
      </c>
      <c r="AD43" s="227">
        <f t="shared" si="161"/>
        <v>98.9</v>
      </c>
      <c r="AE43" s="226">
        <f t="shared" si="161"/>
        <v>101.3</v>
      </c>
      <c r="AF43" s="227">
        <f t="shared" ref="AF43:AP43" si="162">ROUND(AVERAGE($W43*(1+0.0333*K$2),$W43*K$2^0.1),1)</f>
        <v>103.7</v>
      </c>
      <c r="AG43" s="226">
        <f t="shared" si="162"/>
        <v>105.5</v>
      </c>
      <c r="AH43" s="227">
        <f t="shared" si="162"/>
        <v>107.3</v>
      </c>
      <c r="AI43" s="226">
        <f t="shared" si="162"/>
        <v>109</v>
      </c>
      <c r="AJ43" s="226">
        <f t="shared" si="162"/>
        <v>110.7</v>
      </c>
      <c r="AK43" s="227">
        <f t="shared" si="162"/>
        <v>112.4</v>
      </c>
      <c r="AL43" s="226">
        <f t="shared" si="162"/>
        <v>114.1</v>
      </c>
      <c r="AM43" s="226">
        <f t="shared" si="162"/>
        <v>115.7</v>
      </c>
      <c r="AN43" s="227">
        <f t="shared" si="162"/>
        <v>117.4</v>
      </c>
      <c r="AO43" s="226">
        <f t="shared" si="162"/>
        <v>119</v>
      </c>
      <c r="AP43" s="226">
        <f t="shared" si="162"/>
        <v>120.6</v>
      </c>
    </row>
    <row r="44" ht="12.75" customHeight="1">
      <c r="A44" s="2"/>
      <c r="B44" s="227">
        <v>42.0</v>
      </c>
      <c r="C44" s="226">
        <v>44.1</v>
      </c>
      <c r="D44" s="226">
        <v>45.7</v>
      </c>
      <c r="E44" s="226">
        <v>47.0</v>
      </c>
      <c r="F44" s="227">
        <v>48.3</v>
      </c>
      <c r="G44" s="226">
        <v>49.5</v>
      </c>
      <c r="H44" s="226">
        <v>50.7</v>
      </c>
      <c r="I44" s="227">
        <v>51.9</v>
      </c>
      <c r="J44" s="226">
        <v>53.2</v>
      </c>
      <c r="K44" s="227">
        <v>54.4</v>
      </c>
      <c r="L44" s="226">
        <v>55.4</v>
      </c>
      <c r="M44" s="227">
        <v>56.3</v>
      </c>
      <c r="N44" s="226">
        <v>57.2</v>
      </c>
      <c r="O44" s="226">
        <v>58.1</v>
      </c>
      <c r="P44" s="227">
        <v>59.0</v>
      </c>
      <c r="Q44" s="226">
        <v>59.9</v>
      </c>
      <c r="R44" s="226">
        <v>60.8</v>
      </c>
      <c r="S44" s="227">
        <v>61.6</v>
      </c>
      <c r="T44" s="226">
        <v>62.5</v>
      </c>
      <c r="U44" s="226">
        <v>63.3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</row>
    <row r="45" ht="12.75" customHeight="1">
      <c r="A45" s="2"/>
      <c r="B45" s="227">
        <v>43.0</v>
      </c>
      <c r="C45" s="226">
        <v>45.2</v>
      </c>
      <c r="D45" s="226">
        <v>46.8</v>
      </c>
      <c r="E45" s="226">
        <v>48.2</v>
      </c>
      <c r="F45" s="227">
        <v>49.4</v>
      </c>
      <c r="G45" s="226">
        <v>50.7</v>
      </c>
      <c r="H45" s="226">
        <v>51.9</v>
      </c>
      <c r="I45" s="227">
        <v>53.2</v>
      </c>
      <c r="J45" s="226">
        <v>54.4</v>
      </c>
      <c r="K45" s="227">
        <v>55.7</v>
      </c>
      <c r="L45" s="226">
        <v>56.7</v>
      </c>
      <c r="M45" s="227">
        <v>57.7</v>
      </c>
      <c r="N45" s="226">
        <v>58.6</v>
      </c>
      <c r="O45" s="226">
        <v>59.5</v>
      </c>
      <c r="P45" s="227">
        <v>60.4</v>
      </c>
      <c r="Q45" s="226">
        <v>61.3</v>
      </c>
      <c r="R45" s="226">
        <v>62.2</v>
      </c>
      <c r="S45" s="227">
        <v>63.1</v>
      </c>
      <c r="T45" s="226">
        <v>64.0</v>
      </c>
      <c r="U45" s="226">
        <v>64.8</v>
      </c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</row>
    <row r="46" ht="12.75" customHeight="1">
      <c r="A46" s="2"/>
      <c r="B46" s="227">
        <v>44.0</v>
      </c>
      <c r="C46" s="226">
        <v>46.2</v>
      </c>
      <c r="D46" s="226">
        <v>47.8</v>
      </c>
      <c r="E46" s="226">
        <v>49.3</v>
      </c>
      <c r="F46" s="227">
        <v>50.6</v>
      </c>
      <c r="G46" s="226">
        <v>51.9</v>
      </c>
      <c r="H46" s="226">
        <v>53.1</v>
      </c>
      <c r="I46" s="227">
        <v>54.4</v>
      </c>
      <c r="J46" s="226">
        <v>55.7</v>
      </c>
      <c r="K46" s="227">
        <v>57.0</v>
      </c>
      <c r="L46" s="226">
        <v>58.0</v>
      </c>
      <c r="M46" s="227">
        <v>59.0</v>
      </c>
      <c r="N46" s="226">
        <v>60.0</v>
      </c>
      <c r="O46" s="226">
        <v>60.9</v>
      </c>
      <c r="P46" s="227">
        <v>61.8</v>
      </c>
      <c r="Q46" s="226">
        <v>62.8</v>
      </c>
      <c r="R46" s="226">
        <v>63.7</v>
      </c>
      <c r="S46" s="227">
        <v>64.6</v>
      </c>
      <c r="T46" s="226">
        <v>65.5</v>
      </c>
      <c r="U46" s="226">
        <v>66.3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</row>
    <row r="47" ht="12.75" customHeight="1">
      <c r="A47" s="2"/>
      <c r="B47" s="227">
        <v>45.0</v>
      </c>
      <c r="C47" s="226">
        <v>47.3</v>
      </c>
      <c r="D47" s="226">
        <v>48.9</v>
      </c>
      <c r="E47" s="226">
        <v>50.4</v>
      </c>
      <c r="F47" s="227">
        <v>51.7</v>
      </c>
      <c r="G47" s="226">
        <v>53.0</v>
      </c>
      <c r="H47" s="226">
        <v>54.3</v>
      </c>
      <c r="I47" s="227">
        <v>55.6</v>
      </c>
      <c r="J47" s="226">
        <v>57.0</v>
      </c>
      <c r="K47" s="227">
        <v>58.3</v>
      </c>
      <c r="L47" s="226">
        <v>59.3</v>
      </c>
      <c r="M47" s="227">
        <v>60.3</v>
      </c>
      <c r="N47" s="226">
        <v>61.3</v>
      </c>
      <c r="O47" s="226">
        <v>62.3</v>
      </c>
      <c r="P47" s="227">
        <v>63.2</v>
      </c>
      <c r="Q47" s="226">
        <v>64.2</v>
      </c>
      <c r="R47" s="226">
        <v>65.1</v>
      </c>
      <c r="S47" s="227">
        <v>66.0</v>
      </c>
      <c r="T47" s="226">
        <v>66.9</v>
      </c>
      <c r="U47" s="226">
        <v>67.8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</row>
    <row r="48" ht="12.75" customHeight="1">
      <c r="A48" s="2"/>
      <c r="B48" s="227">
        <v>46.0</v>
      </c>
      <c r="C48" s="226">
        <v>48.3</v>
      </c>
      <c r="D48" s="226">
        <v>50.0</v>
      </c>
      <c r="E48" s="226">
        <v>51.5</v>
      </c>
      <c r="F48" s="227">
        <v>52.9</v>
      </c>
      <c r="G48" s="226">
        <v>54.2</v>
      </c>
      <c r="H48" s="226">
        <v>55.5</v>
      </c>
      <c r="I48" s="227">
        <v>56.9</v>
      </c>
      <c r="J48" s="226">
        <v>58.2</v>
      </c>
      <c r="K48" s="227">
        <v>59.6</v>
      </c>
      <c r="L48" s="226">
        <v>60.7</v>
      </c>
      <c r="M48" s="227">
        <v>61.7</v>
      </c>
      <c r="N48" s="226">
        <v>62.7</v>
      </c>
      <c r="O48" s="226">
        <v>63.7</v>
      </c>
      <c r="P48" s="227">
        <v>64.6</v>
      </c>
      <c r="Q48" s="226">
        <v>65.6</v>
      </c>
      <c r="R48" s="226">
        <v>66.6</v>
      </c>
      <c r="S48" s="227">
        <v>67.5</v>
      </c>
      <c r="T48" s="226">
        <v>68.4</v>
      </c>
      <c r="U48" s="226">
        <v>69.4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</row>
    <row r="49" ht="12.75" customHeight="1">
      <c r="A49" s="2"/>
      <c r="B49" s="227">
        <v>47.0</v>
      </c>
      <c r="C49" s="226">
        <v>49.4</v>
      </c>
      <c r="D49" s="226">
        <v>51.1</v>
      </c>
      <c r="E49" s="226">
        <v>52.6</v>
      </c>
      <c r="F49" s="227">
        <v>54.0</v>
      </c>
      <c r="G49" s="226">
        <v>55.4</v>
      </c>
      <c r="H49" s="226">
        <v>56.8</v>
      </c>
      <c r="I49" s="227">
        <v>58.1</v>
      </c>
      <c r="J49" s="226">
        <v>59.5</v>
      </c>
      <c r="K49" s="227">
        <v>60.9</v>
      </c>
      <c r="L49" s="226">
        <v>62.0</v>
      </c>
      <c r="M49" s="227">
        <v>63.0</v>
      </c>
      <c r="N49" s="226">
        <v>64.0</v>
      </c>
      <c r="O49" s="226">
        <v>65.1</v>
      </c>
      <c r="P49" s="227">
        <v>66.0</v>
      </c>
      <c r="Q49" s="226">
        <v>67.0</v>
      </c>
      <c r="R49" s="226">
        <v>68.0</v>
      </c>
      <c r="S49" s="227">
        <v>69.0</v>
      </c>
      <c r="T49" s="226">
        <v>69.9</v>
      </c>
      <c r="U49" s="226">
        <v>70.9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</row>
    <row r="50" ht="12.75" customHeight="1">
      <c r="A50" s="2"/>
      <c r="B50" s="227">
        <v>48.0</v>
      </c>
      <c r="C50" s="226">
        <v>50.4</v>
      </c>
      <c r="D50" s="226">
        <v>52.2</v>
      </c>
      <c r="E50" s="226">
        <v>53.8</v>
      </c>
      <c r="F50" s="227">
        <v>55.2</v>
      </c>
      <c r="G50" s="226">
        <v>56.6</v>
      </c>
      <c r="H50" s="226">
        <v>58.0</v>
      </c>
      <c r="I50" s="227">
        <v>59.3</v>
      </c>
      <c r="J50" s="226">
        <v>60.8</v>
      </c>
      <c r="K50" s="227">
        <v>62.2</v>
      </c>
      <c r="L50" s="226">
        <v>63.3</v>
      </c>
      <c r="M50" s="227">
        <v>64.4</v>
      </c>
      <c r="N50" s="226">
        <v>65.4</v>
      </c>
      <c r="O50" s="226">
        <v>66.4</v>
      </c>
      <c r="P50" s="227">
        <v>67.5</v>
      </c>
      <c r="Q50" s="226">
        <v>68.5</v>
      </c>
      <c r="R50" s="226">
        <v>69.4</v>
      </c>
      <c r="S50" s="227">
        <v>70.4</v>
      </c>
      <c r="T50" s="226">
        <v>71.4</v>
      </c>
      <c r="U50" s="226">
        <v>72.4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</row>
    <row r="51" ht="12.75" customHeight="1">
      <c r="A51" s="2"/>
      <c r="B51" s="227">
        <v>49.0</v>
      </c>
      <c r="C51" s="226">
        <v>51.5</v>
      </c>
      <c r="D51" s="226">
        <v>53.3</v>
      </c>
      <c r="E51" s="226">
        <v>54.9</v>
      </c>
      <c r="F51" s="227">
        <v>56.3</v>
      </c>
      <c r="G51" s="226">
        <v>57.8</v>
      </c>
      <c r="H51" s="226">
        <v>59.2</v>
      </c>
      <c r="I51" s="227">
        <v>60.6</v>
      </c>
      <c r="J51" s="226">
        <v>62.0</v>
      </c>
      <c r="K51" s="227">
        <v>63.5</v>
      </c>
      <c r="L51" s="226">
        <v>64.6</v>
      </c>
      <c r="M51" s="227">
        <v>65.7</v>
      </c>
      <c r="N51" s="226">
        <v>66.8</v>
      </c>
      <c r="O51" s="226">
        <v>67.8</v>
      </c>
      <c r="P51" s="227">
        <v>68.9</v>
      </c>
      <c r="Q51" s="226">
        <v>69.9</v>
      </c>
      <c r="R51" s="226">
        <v>70.9</v>
      </c>
      <c r="S51" s="227">
        <v>71.9</v>
      </c>
      <c r="T51" s="226">
        <v>72.9</v>
      </c>
      <c r="U51" s="226">
        <v>73.9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</row>
    <row r="52" ht="12.75" customHeight="1">
      <c r="A52" s="2"/>
      <c r="B52" s="227">
        <v>50.0</v>
      </c>
      <c r="C52" s="226">
        <v>52.5</v>
      </c>
      <c r="D52" s="226">
        <v>54.4</v>
      </c>
      <c r="E52" s="226">
        <v>56.0</v>
      </c>
      <c r="F52" s="227">
        <v>57.5</v>
      </c>
      <c r="G52" s="226">
        <v>58.9</v>
      </c>
      <c r="H52" s="226">
        <v>60.4</v>
      </c>
      <c r="I52" s="227">
        <v>61.8</v>
      </c>
      <c r="J52" s="226">
        <v>63.3</v>
      </c>
      <c r="K52" s="227">
        <v>64.8</v>
      </c>
      <c r="L52" s="226">
        <v>65.9</v>
      </c>
      <c r="M52" s="227">
        <v>67.0</v>
      </c>
      <c r="N52" s="226">
        <v>68.1</v>
      </c>
      <c r="O52" s="226">
        <v>69.2</v>
      </c>
      <c r="P52" s="227">
        <v>70.3</v>
      </c>
      <c r="Q52" s="226">
        <v>71.3</v>
      </c>
      <c r="R52" s="226">
        <v>72.3</v>
      </c>
      <c r="S52" s="227">
        <v>73.4</v>
      </c>
      <c r="T52" s="226">
        <v>74.4</v>
      </c>
      <c r="U52" s="226">
        <v>75.4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</row>
    <row r="53" ht="12.75" customHeight="1">
      <c r="A53" s="2"/>
      <c r="B53" s="227">
        <v>51.0</v>
      </c>
      <c r="C53" s="226">
        <v>53.6</v>
      </c>
      <c r="D53" s="226">
        <v>55.5</v>
      </c>
      <c r="E53" s="226">
        <v>57.1</v>
      </c>
      <c r="F53" s="227">
        <v>58.6</v>
      </c>
      <c r="G53" s="226">
        <v>60.1</v>
      </c>
      <c r="H53" s="226">
        <v>61.6</v>
      </c>
      <c r="I53" s="227">
        <v>63.1</v>
      </c>
      <c r="J53" s="226">
        <v>64.6</v>
      </c>
      <c r="K53" s="227">
        <v>66.1</v>
      </c>
      <c r="L53" s="226">
        <v>67.3</v>
      </c>
      <c r="M53" s="227">
        <v>68.4</v>
      </c>
      <c r="N53" s="226">
        <v>69.5</v>
      </c>
      <c r="O53" s="226">
        <v>70.6</v>
      </c>
      <c r="P53" s="227">
        <v>71.7</v>
      </c>
      <c r="Q53" s="226">
        <v>72.7</v>
      </c>
      <c r="R53" s="226">
        <v>73.8</v>
      </c>
      <c r="S53" s="227">
        <v>74.8</v>
      </c>
      <c r="T53" s="226">
        <v>75.9</v>
      </c>
      <c r="U53" s="226">
        <v>76.9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</row>
    <row r="54" ht="12.75" customHeight="1">
      <c r="A54" s="2"/>
      <c r="B54" s="227">
        <v>52.0</v>
      </c>
      <c r="C54" s="226">
        <v>54.6</v>
      </c>
      <c r="D54" s="226">
        <v>56.5</v>
      </c>
      <c r="E54" s="226">
        <v>58.2</v>
      </c>
      <c r="F54" s="227">
        <v>59.8</v>
      </c>
      <c r="G54" s="226">
        <v>61.3</v>
      </c>
      <c r="H54" s="226">
        <v>62.8</v>
      </c>
      <c r="I54" s="227">
        <v>64.3</v>
      </c>
      <c r="J54" s="226">
        <v>65.8</v>
      </c>
      <c r="K54" s="227">
        <v>67.4</v>
      </c>
      <c r="L54" s="226">
        <v>68.6</v>
      </c>
      <c r="M54" s="227">
        <v>69.7</v>
      </c>
      <c r="N54" s="226">
        <v>70.9</v>
      </c>
      <c r="O54" s="226">
        <v>72.0</v>
      </c>
      <c r="P54" s="227">
        <v>73.1</v>
      </c>
      <c r="Q54" s="226">
        <v>74.2</v>
      </c>
      <c r="R54" s="226">
        <v>75.2</v>
      </c>
      <c r="S54" s="227">
        <v>76.3</v>
      </c>
      <c r="T54" s="226">
        <v>77.4</v>
      </c>
      <c r="U54" s="226">
        <v>78.4</v>
      </c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</row>
    <row r="55" ht="12.75" customHeight="1">
      <c r="A55" s="2"/>
      <c r="B55" s="227">
        <v>53.0</v>
      </c>
      <c r="C55" s="226">
        <v>55.7</v>
      </c>
      <c r="D55" s="226">
        <v>57.6</v>
      </c>
      <c r="E55" s="226">
        <v>59.4</v>
      </c>
      <c r="F55" s="227">
        <v>60.9</v>
      </c>
      <c r="G55" s="226">
        <v>62.5</v>
      </c>
      <c r="H55" s="226">
        <v>64.0</v>
      </c>
      <c r="I55" s="227">
        <v>65.5</v>
      </c>
      <c r="J55" s="226">
        <v>67.1</v>
      </c>
      <c r="K55" s="227">
        <v>68.7</v>
      </c>
      <c r="L55" s="226">
        <v>69.9</v>
      </c>
      <c r="M55" s="227">
        <v>71.1</v>
      </c>
      <c r="N55" s="226">
        <v>72.2</v>
      </c>
      <c r="O55" s="226">
        <v>73.4</v>
      </c>
      <c r="P55" s="227">
        <v>74.5</v>
      </c>
      <c r="Q55" s="226">
        <v>75.6</v>
      </c>
      <c r="R55" s="226">
        <v>76.7</v>
      </c>
      <c r="S55" s="227">
        <v>77.8</v>
      </c>
      <c r="T55" s="226">
        <v>78.8</v>
      </c>
      <c r="U55" s="226">
        <v>79.9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</row>
    <row r="56" ht="12.75" customHeight="1">
      <c r="A56" s="2"/>
      <c r="B56" s="227">
        <v>54.0</v>
      </c>
      <c r="C56" s="226">
        <v>56.7</v>
      </c>
      <c r="D56" s="226">
        <v>58.7</v>
      </c>
      <c r="E56" s="226">
        <v>60.5</v>
      </c>
      <c r="F56" s="227">
        <v>62.1</v>
      </c>
      <c r="G56" s="226">
        <v>63.7</v>
      </c>
      <c r="H56" s="226">
        <v>65.2</v>
      </c>
      <c r="I56" s="227">
        <v>66.8</v>
      </c>
      <c r="J56" s="226">
        <v>68.4</v>
      </c>
      <c r="K56" s="227">
        <v>70.0</v>
      </c>
      <c r="L56" s="226">
        <v>71.2</v>
      </c>
      <c r="M56" s="227">
        <v>72.4</v>
      </c>
      <c r="N56" s="226">
        <v>73.6</v>
      </c>
      <c r="O56" s="226">
        <v>74.7</v>
      </c>
      <c r="P56" s="227">
        <v>75.9</v>
      </c>
      <c r="Q56" s="226">
        <v>77.0</v>
      </c>
      <c r="R56" s="226">
        <v>78.1</v>
      </c>
      <c r="S56" s="227">
        <v>79.2</v>
      </c>
      <c r="T56" s="226">
        <v>80.3</v>
      </c>
      <c r="U56" s="226">
        <v>81.4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</row>
    <row r="57" ht="12.75" customHeight="1">
      <c r="A57" s="2"/>
      <c r="B57" s="227">
        <v>55.0</v>
      </c>
      <c r="C57" s="226">
        <v>57.8</v>
      </c>
      <c r="D57" s="226">
        <v>59.8</v>
      </c>
      <c r="E57" s="226">
        <v>61.6</v>
      </c>
      <c r="F57" s="227">
        <v>63.2</v>
      </c>
      <c r="G57" s="226">
        <v>64.8</v>
      </c>
      <c r="H57" s="226">
        <v>66.4</v>
      </c>
      <c r="I57" s="227">
        <v>68.0</v>
      </c>
      <c r="J57" s="226">
        <v>69.6</v>
      </c>
      <c r="K57" s="227">
        <v>71.3</v>
      </c>
      <c r="L57" s="226">
        <v>72.5</v>
      </c>
      <c r="M57" s="227">
        <v>73.7</v>
      </c>
      <c r="N57" s="226">
        <v>74.9</v>
      </c>
      <c r="O57" s="226">
        <v>76.1</v>
      </c>
      <c r="P57" s="227">
        <v>77.3</v>
      </c>
      <c r="Q57" s="226">
        <v>78.4</v>
      </c>
      <c r="R57" s="226">
        <v>79.6</v>
      </c>
      <c r="S57" s="227">
        <v>80.7</v>
      </c>
      <c r="T57" s="226">
        <v>81.8</v>
      </c>
      <c r="U57" s="226">
        <v>82.9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</row>
    <row r="58" ht="12.75" customHeight="1">
      <c r="A58" s="2"/>
      <c r="B58" s="227">
        <v>56.0</v>
      </c>
      <c r="C58" s="226">
        <v>58.8</v>
      </c>
      <c r="D58" s="226">
        <v>60.9</v>
      </c>
      <c r="E58" s="226">
        <v>62.7</v>
      </c>
      <c r="F58" s="227">
        <v>64.4</v>
      </c>
      <c r="G58" s="226">
        <v>66.0</v>
      </c>
      <c r="H58" s="226">
        <v>67.6</v>
      </c>
      <c r="I58" s="227">
        <v>69.2</v>
      </c>
      <c r="J58" s="226">
        <v>70.9</v>
      </c>
      <c r="K58" s="227">
        <v>72.6</v>
      </c>
      <c r="L58" s="226">
        <v>73.8</v>
      </c>
      <c r="M58" s="227">
        <v>75.1</v>
      </c>
      <c r="N58" s="226">
        <v>76.3</v>
      </c>
      <c r="O58" s="226">
        <v>77.5</v>
      </c>
      <c r="P58" s="227">
        <v>78.7</v>
      </c>
      <c r="Q58" s="226">
        <v>79.9</v>
      </c>
      <c r="R58" s="226">
        <v>81.0</v>
      </c>
      <c r="S58" s="227">
        <v>82.2</v>
      </c>
      <c r="T58" s="226">
        <v>83.3</v>
      </c>
      <c r="U58" s="226">
        <v>84.4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 ht="12.75" customHeight="1">
      <c r="A59" s="2"/>
      <c r="B59" s="227">
        <v>57.0</v>
      </c>
      <c r="C59" s="226">
        <v>59.9</v>
      </c>
      <c r="D59" s="226">
        <v>62.0</v>
      </c>
      <c r="E59" s="226">
        <v>63.8</v>
      </c>
      <c r="F59" s="227">
        <v>65.5</v>
      </c>
      <c r="G59" s="226">
        <v>67.2</v>
      </c>
      <c r="H59" s="226">
        <v>68.8</v>
      </c>
      <c r="I59" s="227">
        <v>70.5</v>
      </c>
      <c r="J59" s="226">
        <v>72.2</v>
      </c>
      <c r="K59" s="227">
        <v>73.9</v>
      </c>
      <c r="L59" s="226">
        <v>75.2</v>
      </c>
      <c r="M59" s="227">
        <v>76.4</v>
      </c>
      <c r="N59" s="226">
        <v>77.7</v>
      </c>
      <c r="O59" s="226">
        <v>78.9</v>
      </c>
      <c r="P59" s="227">
        <v>80.1</v>
      </c>
      <c r="Q59" s="226">
        <v>81.3</v>
      </c>
      <c r="R59" s="226">
        <v>82.5</v>
      </c>
      <c r="S59" s="227">
        <v>83.6</v>
      </c>
      <c r="T59" s="226">
        <v>84.8</v>
      </c>
      <c r="U59" s="226">
        <v>85.9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 ht="12.75" customHeight="1">
      <c r="A60" s="2"/>
      <c r="B60" s="227">
        <v>58.0</v>
      </c>
      <c r="C60" s="226">
        <v>60.9</v>
      </c>
      <c r="D60" s="226">
        <v>63.1</v>
      </c>
      <c r="E60" s="226">
        <v>65.0</v>
      </c>
      <c r="F60" s="227">
        <v>66.7</v>
      </c>
      <c r="G60" s="226">
        <v>68.4</v>
      </c>
      <c r="H60" s="226">
        <v>70.0</v>
      </c>
      <c r="I60" s="227">
        <v>71.7</v>
      </c>
      <c r="J60" s="226">
        <v>73.4</v>
      </c>
      <c r="K60" s="227">
        <v>75.2</v>
      </c>
      <c r="L60" s="226">
        <v>76.5</v>
      </c>
      <c r="M60" s="227">
        <v>77.8</v>
      </c>
      <c r="N60" s="226">
        <v>79.0</v>
      </c>
      <c r="O60" s="226">
        <v>80.3</v>
      </c>
      <c r="P60" s="227">
        <v>81.5</v>
      </c>
      <c r="Q60" s="226">
        <v>82.7</v>
      </c>
      <c r="R60" s="226">
        <v>83.9</v>
      </c>
      <c r="S60" s="227">
        <v>85.1</v>
      </c>
      <c r="T60" s="226">
        <v>86.3</v>
      </c>
      <c r="U60" s="226">
        <v>87.4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 ht="12.75" customHeight="1">
      <c r="A61" s="2"/>
      <c r="B61" s="227">
        <v>59.0</v>
      </c>
      <c r="C61" s="226">
        <v>62.0</v>
      </c>
      <c r="D61" s="226">
        <v>64.2</v>
      </c>
      <c r="E61" s="226">
        <v>66.1</v>
      </c>
      <c r="F61" s="227">
        <v>67.8</v>
      </c>
      <c r="G61" s="226">
        <v>69.6</v>
      </c>
      <c r="H61" s="226">
        <v>71.2</v>
      </c>
      <c r="I61" s="227">
        <v>72.9</v>
      </c>
      <c r="J61" s="226">
        <v>74.7</v>
      </c>
      <c r="K61" s="227">
        <v>76.5</v>
      </c>
      <c r="L61" s="226">
        <v>77.8</v>
      </c>
      <c r="M61" s="227">
        <v>79.1</v>
      </c>
      <c r="N61" s="226">
        <v>80.4</v>
      </c>
      <c r="O61" s="226">
        <v>81.7</v>
      </c>
      <c r="P61" s="227">
        <v>82.9</v>
      </c>
      <c r="Q61" s="226">
        <v>84.1</v>
      </c>
      <c r="R61" s="226">
        <v>85.4</v>
      </c>
      <c r="S61" s="227">
        <v>86.6</v>
      </c>
      <c r="T61" s="226">
        <v>87.8</v>
      </c>
      <c r="U61" s="226">
        <v>89.0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</row>
    <row r="62" ht="12.75" customHeight="1">
      <c r="A62" s="2"/>
      <c r="B62" s="227">
        <v>60.0</v>
      </c>
      <c r="C62" s="226">
        <v>63.0</v>
      </c>
      <c r="D62" s="226">
        <v>65.2</v>
      </c>
      <c r="E62" s="226">
        <v>67.2</v>
      </c>
      <c r="F62" s="227">
        <v>69.0</v>
      </c>
      <c r="G62" s="226">
        <v>70.7</v>
      </c>
      <c r="H62" s="226">
        <v>72.5</v>
      </c>
      <c r="I62" s="227">
        <v>74.2</v>
      </c>
      <c r="J62" s="226">
        <v>76.0</v>
      </c>
      <c r="K62" s="227">
        <v>77.8</v>
      </c>
      <c r="L62" s="226">
        <v>79.1</v>
      </c>
      <c r="M62" s="227">
        <v>80.5</v>
      </c>
      <c r="N62" s="226">
        <v>81.8</v>
      </c>
      <c r="O62" s="226">
        <v>83.0</v>
      </c>
      <c r="P62" s="227">
        <v>84.3</v>
      </c>
      <c r="Q62" s="226">
        <v>85.6</v>
      </c>
      <c r="R62" s="226">
        <v>86.8</v>
      </c>
      <c r="S62" s="227">
        <v>88.0</v>
      </c>
      <c r="T62" s="226">
        <v>89.3</v>
      </c>
      <c r="U62" s="226">
        <v>90.5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</row>
    <row r="63" ht="12.75" customHeight="1">
      <c r="A63" s="2"/>
      <c r="B63" s="227">
        <v>61.0</v>
      </c>
      <c r="C63" s="226">
        <v>64.1</v>
      </c>
      <c r="D63" s="226">
        <v>66.3</v>
      </c>
      <c r="E63" s="226">
        <v>68.3</v>
      </c>
      <c r="F63" s="227">
        <v>70.1</v>
      </c>
      <c r="G63" s="226">
        <v>71.9</v>
      </c>
      <c r="H63" s="226">
        <v>73.7</v>
      </c>
      <c r="I63" s="227">
        <v>75.4</v>
      </c>
      <c r="J63" s="226">
        <v>77.2</v>
      </c>
      <c r="K63" s="227">
        <v>79.1</v>
      </c>
      <c r="L63" s="226">
        <v>80.4</v>
      </c>
      <c r="M63" s="227">
        <v>81.8</v>
      </c>
      <c r="N63" s="226">
        <v>83.1</v>
      </c>
      <c r="O63" s="226">
        <v>84.4</v>
      </c>
      <c r="P63" s="227">
        <v>85.7</v>
      </c>
      <c r="Q63" s="226">
        <v>87.0</v>
      </c>
      <c r="R63" s="226">
        <v>88.3</v>
      </c>
      <c r="S63" s="227">
        <v>89.5</v>
      </c>
      <c r="T63" s="226">
        <v>90.7</v>
      </c>
      <c r="U63" s="226">
        <v>92.0</v>
      </c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</row>
    <row r="64" ht="12.75" customHeight="1">
      <c r="A64" s="2"/>
      <c r="B64" s="227">
        <v>62.0</v>
      </c>
      <c r="C64" s="226">
        <v>65.1</v>
      </c>
      <c r="D64" s="226">
        <v>67.4</v>
      </c>
      <c r="E64" s="226">
        <v>69.4</v>
      </c>
      <c r="F64" s="227">
        <v>71.3</v>
      </c>
      <c r="G64" s="226">
        <v>73.1</v>
      </c>
      <c r="H64" s="226">
        <v>74.9</v>
      </c>
      <c r="I64" s="227">
        <v>76.7</v>
      </c>
      <c r="J64" s="226">
        <v>78.5</v>
      </c>
      <c r="K64" s="227">
        <v>80.3</v>
      </c>
      <c r="L64" s="226">
        <v>81.8</v>
      </c>
      <c r="M64" s="227">
        <v>83.1</v>
      </c>
      <c r="N64" s="226">
        <v>84.5</v>
      </c>
      <c r="O64" s="226">
        <v>85.8</v>
      </c>
      <c r="P64" s="227">
        <v>87.1</v>
      </c>
      <c r="Q64" s="226">
        <v>88.4</v>
      </c>
      <c r="R64" s="226">
        <v>89.7</v>
      </c>
      <c r="S64" s="227">
        <v>91.0</v>
      </c>
      <c r="T64" s="226">
        <v>92.2</v>
      </c>
      <c r="U64" s="226">
        <v>93.5</v>
      </c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</row>
    <row r="65" ht="12.75" customHeight="1">
      <c r="A65" s="2"/>
      <c r="B65" s="227">
        <v>63.0</v>
      </c>
      <c r="C65" s="226">
        <v>66.2</v>
      </c>
      <c r="D65" s="226">
        <v>68.5</v>
      </c>
      <c r="E65" s="226">
        <v>70.6</v>
      </c>
      <c r="F65" s="227">
        <v>72.4</v>
      </c>
      <c r="G65" s="226">
        <v>74.3</v>
      </c>
      <c r="H65" s="226">
        <v>76.1</v>
      </c>
      <c r="I65" s="227">
        <v>77.9</v>
      </c>
      <c r="J65" s="226">
        <v>79.7</v>
      </c>
      <c r="K65" s="227">
        <v>81.6</v>
      </c>
      <c r="L65" s="226">
        <v>83.1</v>
      </c>
      <c r="M65" s="227">
        <v>84.5</v>
      </c>
      <c r="N65" s="226">
        <v>85.8</v>
      </c>
      <c r="O65" s="226">
        <v>87.2</v>
      </c>
      <c r="P65" s="227">
        <v>88.5</v>
      </c>
      <c r="Q65" s="226">
        <v>89.8</v>
      </c>
      <c r="R65" s="226">
        <v>91.1</v>
      </c>
      <c r="S65" s="227">
        <v>92.4</v>
      </c>
      <c r="T65" s="226">
        <v>93.7</v>
      </c>
      <c r="U65" s="226">
        <v>95.0</v>
      </c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</row>
    <row r="66" ht="12.75" customHeight="1">
      <c r="A66" s="2"/>
      <c r="B66" s="227">
        <v>64.0</v>
      </c>
      <c r="C66" s="226">
        <v>67.2</v>
      </c>
      <c r="D66" s="226">
        <v>69.6</v>
      </c>
      <c r="E66" s="226">
        <v>71.7</v>
      </c>
      <c r="F66" s="227">
        <v>73.6</v>
      </c>
      <c r="G66" s="226">
        <v>75.4</v>
      </c>
      <c r="H66" s="226">
        <v>77.3</v>
      </c>
      <c r="I66" s="227">
        <v>79.1</v>
      </c>
      <c r="J66" s="226">
        <v>81.0</v>
      </c>
      <c r="K66" s="227">
        <v>82.9</v>
      </c>
      <c r="L66" s="226">
        <v>84.4</v>
      </c>
      <c r="M66" s="227">
        <v>85.8</v>
      </c>
      <c r="N66" s="226">
        <v>87.2</v>
      </c>
      <c r="O66" s="226">
        <v>88.6</v>
      </c>
      <c r="P66" s="227">
        <v>89.9</v>
      </c>
      <c r="Q66" s="226">
        <v>91.3</v>
      </c>
      <c r="R66" s="226">
        <v>92.6</v>
      </c>
      <c r="S66" s="227">
        <v>93.9</v>
      </c>
      <c r="T66" s="226">
        <v>95.2</v>
      </c>
      <c r="U66" s="226">
        <v>96.5</v>
      </c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</row>
    <row r="67" ht="12.75" customHeight="1">
      <c r="A67" s="2"/>
      <c r="B67" s="227">
        <v>65.0</v>
      </c>
      <c r="C67" s="226">
        <v>68.3</v>
      </c>
      <c r="D67" s="226">
        <v>70.7</v>
      </c>
      <c r="E67" s="226">
        <v>72.8</v>
      </c>
      <c r="F67" s="227">
        <v>74.7</v>
      </c>
      <c r="G67" s="226">
        <v>76.6</v>
      </c>
      <c r="H67" s="226">
        <v>78.5</v>
      </c>
      <c r="I67" s="227">
        <v>80.4</v>
      </c>
      <c r="J67" s="226">
        <v>82.3</v>
      </c>
      <c r="K67" s="227">
        <v>84.2</v>
      </c>
      <c r="L67" s="226">
        <v>85.7</v>
      </c>
      <c r="M67" s="227">
        <v>87.2</v>
      </c>
      <c r="N67" s="226">
        <v>88.6</v>
      </c>
      <c r="O67" s="226">
        <v>90.0</v>
      </c>
      <c r="P67" s="227">
        <v>91.3</v>
      </c>
      <c r="Q67" s="226">
        <v>92.7</v>
      </c>
      <c r="R67" s="226">
        <v>94.0</v>
      </c>
      <c r="S67" s="227">
        <v>95.4</v>
      </c>
      <c r="T67" s="226">
        <v>96.7</v>
      </c>
      <c r="U67" s="226">
        <v>98.0</v>
      </c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</row>
    <row r="68" ht="12.75" customHeight="1">
      <c r="A68" s="2"/>
      <c r="B68" s="227">
        <v>66.0</v>
      </c>
      <c r="C68" s="226">
        <v>69.3</v>
      </c>
      <c r="D68" s="226">
        <v>71.8</v>
      </c>
      <c r="E68" s="226">
        <v>73.9</v>
      </c>
      <c r="F68" s="227">
        <v>75.9</v>
      </c>
      <c r="G68" s="226">
        <v>77.8</v>
      </c>
      <c r="H68" s="226">
        <v>79.7</v>
      </c>
      <c r="I68" s="227">
        <v>81.6</v>
      </c>
      <c r="J68" s="226">
        <v>83.5</v>
      </c>
      <c r="K68" s="227">
        <v>85.5</v>
      </c>
      <c r="L68" s="226">
        <v>87.0</v>
      </c>
      <c r="M68" s="227">
        <v>88.5</v>
      </c>
      <c r="N68" s="226">
        <v>89.9</v>
      </c>
      <c r="O68" s="226">
        <v>91.4</v>
      </c>
      <c r="P68" s="227">
        <v>92.7</v>
      </c>
      <c r="Q68" s="226">
        <v>94.1</v>
      </c>
      <c r="R68" s="226">
        <v>95.5</v>
      </c>
      <c r="S68" s="227">
        <v>96.8</v>
      </c>
      <c r="T68" s="226">
        <v>98.2</v>
      </c>
      <c r="U68" s="226">
        <v>99.5</v>
      </c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</row>
    <row r="69" ht="12.75" customHeight="1">
      <c r="A69" s="2"/>
      <c r="B69" s="227">
        <v>67.0</v>
      </c>
      <c r="C69" s="226">
        <v>70.4</v>
      </c>
      <c r="D69" s="226">
        <v>72.9</v>
      </c>
      <c r="E69" s="226">
        <v>75.0</v>
      </c>
      <c r="F69" s="227">
        <v>77.0</v>
      </c>
      <c r="G69" s="226">
        <v>79.0</v>
      </c>
      <c r="H69" s="226">
        <v>80.9</v>
      </c>
      <c r="I69" s="227">
        <v>82.8</v>
      </c>
      <c r="J69" s="226">
        <v>84.8</v>
      </c>
      <c r="K69" s="227">
        <v>86.8</v>
      </c>
      <c r="L69" s="226">
        <v>88.3</v>
      </c>
      <c r="M69" s="227">
        <v>89.8</v>
      </c>
      <c r="N69" s="226">
        <v>91.3</v>
      </c>
      <c r="O69" s="226">
        <v>92.7</v>
      </c>
      <c r="P69" s="227">
        <v>94.2</v>
      </c>
      <c r="Q69" s="226">
        <v>95.6</v>
      </c>
      <c r="R69" s="226">
        <v>96.9</v>
      </c>
      <c r="S69" s="227">
        <v>98.3</v>
      </c>
      <c r="T69" s="226">
        <v>99.7</v>
      </c>
      <c r="U69" s="226">
        <v>101.0</v>
      </c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</row>
    <row r="70" ht="12.75" customHeight="1">
      <c r="A70" s="2"/>
      <c r="B70" s="227">
        <v>68.0</v>
      </c>
      <c r="C70" s="226">
        <v>71.4</v>
      </c>
      <c r="D70" s="226">
        <v>73.9</v>
      </c>
      <c r="E70" s="226">
        <v>76.1</v>
      </c>
      <c r="F70" s="227">
        <v>78.2</v>
      </c>
      <c r="G70" s="226">
        <v>80.2</v>
      </c>
      <c r="H70" s="226">
        <v>82.1</v>
      </c>
      <c r="I70" s="227">
        <v>84.1</v>
      </c>
      <c r="J70" s="226">
        <v>86.1</v>
      </c>
      <c r="K70" s="227">
        <v>88.1</v>
      </c>
      <c r="L70" s="226">
        <v>89.7</v>
      </c>
      <c r="M70" s="227">
        <v>91.2</v>
      </c>
      <c r="N70" s="226">
        <v>92.7</v>
      </c>
      <c r="O70" s="226">
        <v>94.1</v>
      </c>
      <c r="P70" s="227">
        <v>95.6</v>
      </c>
      <c r="Q70" s="226">
        <v>97.0</v>
      </c>
      <c r="R70" s="226">
        <v>98.4</v>
      </c>
      <c r="S70" s="227">
        <v>99.8</v>
      </c>
      <c r="T70" s="226">
        <v>101.2</v>
      </c>
      <c r="U70" s="226">
        <v>102.5</v>
      </c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</row>
    <row r="71" ht="12.75" customHeight="1">
      <c r="A71" s="2"/>
      <c r="B71" s="227">
        <v>69.0</v>
      </c>
      <c r="C71" s="226">
        <v>72.5</v>
      </c>
      <c r="D71" s="226">
        <v>75.0</v>
      </c>
      <c r="E71" s="226">
        <v>77.3</v>
      </c>
      <c r="F71" s="227">
        <v>79.3</v>
      </c>
      <c r="G71" s="226">
        <v>81.3</v>
      </c>
      <c r="H71" s="226">
        <v>83.3</v>
      </c>
      <c r="I71" s="227">
        <v>85.3</v>
      </c>
      <c r="J71" s="226">
        <v>87.3</v>
      </c>
      <c r="K71" s="227">
        <v>89.4</v>
      </c>
      <c r="L71" s="226">
        <v>91.0</v>
      </c>
      <c r="M71" s="227">
        <v>92.5</v>
      </c>
      <c r="N71" s="226">
        <v>94.0</v>
      </c>
      <c r="O71" s="226">
        <v>95.5</v>
      </c>
      <c r="P71" s="227">
        <v>97.0</v>
      </c>
      <c r="Q71" s="226">
        <v>98.4</v>
      </c>
      <c r="R71" s="226">
        <v>99.8</v>
      </c>
      <c r="S71" s="227">
        <v>101.2</v>
      </c>
      <c r="T71" s="226">
        <v>102.6</v>
      </c>
      <c r="U71" s="226">
        <v>104.0</v>
      </c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</row>
    <row r="72" ht="12.75" customHeight="1">
      <c r="A72" s="2"/>
      <c r="B72" s="227">
        <v>70.0</v>
      </c>
      <c r="C72" s="226">
        <v>73.5</v>
      </c>
      <c r="D72" s="226">
        <v>76.1</v>
      </c>
      <c r="E72" s="226">
        <v>78.4</v>
      </c>
      <c r="F72" s="227">
        <v>80.5</v>
      </c>
      <c r="G72" s="226">
        <v>82.5</v>
      </c>
      <c r="H72" s="226">
        <v>84.5</v>
      </c>
      <c r="I72" s="227">
        <v>86.5</v>
      </c>
      <c r="J72" s="226">
        <v>88.6</v>
      </c>
      <c r="K72" s="227">
        <v>90.7</v>
      </c>
      <c r="L72" s="226">
        <v>92.3</v>
      </c>
      <c r="M72" s="227">
        <v>93.9</v>
      </c>
      <c r="N72" s="226">
        <v>95.4</v>
      </c>
      <c r="O72" s="226">
        <v>96.9</v>
      </c>
      <c r="P72" s="227">
        <v>98.4</v>
      </c>
      <c r="Q72" s="226">
        <v>99.8</v>
      </c>
      <c r="R72" s="226">
        <v>101.3</v>
      </c>
      <c r="S72" s="227">
        <v>102.7</v>
      </c>
      <c r="T72" s="226">
        <v>104.1</v>
      </c>
      <c r="U72" s="226">
        <v>105.5</v>
      </c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</row>
    <row r="73" ht="12.75" customHeight="1">
      <c r="A73" s="2"/>
      <c r="B73" s="227">
        <v>71.0</v>
      </c>
      <c r="C73" s="226">
        <v>74.6</v>
      </c>
      <c r="D73" s="226">
        <v>77.2</v>
      </c>
      <c r="E73" s="226">
        <v>79.5</v>
      </c>
      <c r="F73" s="227">
        <v>81.6</v>
      </c>
      <c r="G73" s="226">
        <v>83.7</v>
      </c>
      <c r="H73" s="226">
        <v>85.7</v>
      </c>
      <c r="I73" s="227">
        <v>87.8</v>
      </c>
      <c r="J73" s="226">
        <v>89.9</v>
      </c>
      <c r="K73" s="227">
        <v>92.0</v>
      </c>
      <c r="L73" s="226">
        <v>93.6</v>
      </c>
      <c r="M73" s="227">
        <v>95.2</v>
      </c>
      <c r="N73" s="226">
        <v>96.7</v>
      </c>
      <c r="O73" s="226">
        <v>98.3</v>
      </c>
      <c r="P73" s="227">
        <v>99.8</v>
      </c>
      <c r="Q73" s="226">
        <v>101.3</v>
      </c>
      <c r="R73" s="226">
        <v>102.7</v>
      </c>
      <c r="S73" s="227">
        <v>104.2</v>
      </c>
      <c r="T73" s="226">
        <v>105.6</v>
      </c>
      <c r="U73" s="226">
        <v>107.0</v>
      </c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</row>
    <row r="74" ht="12.75" customHeight="1">
      <c r="A74" s="2"/>
      <c r="B74" s="227">
        <v>72.0</v>
      </c>
      <c r="C74" s="226">
        <v>75.6</v>
      </c>
      <c r="D74" s="226">
        <v>78.3</v>
      </c>
      <c r="E74" s="226">
        <v>80.6</v>
      </c>
      <c r="F74" s="227">
        <v>82.8</v>
      </c>
      <c r="G74" s="226">
        <v>84.9</v>
      </c>
      <c r="H74" s="226">
        <v>86.9</v>
      </c>
      <c r="I74" s="227">
        <v>89.0</v>
      </c>
      <c r="J74" s="226">
        <v>91.1</v>
      </c>
      <c r="K74" s="227">
        <v>93.3</v>
      </c>
      <c r="L74" s="226">
        <v>94.9</v>
      </c>
      <c r="M74" s="227">
        <v>96.5</v>
      </c>
      <c r="N74" s="226">
        <v>98.1</v>
      </c>
      <c r="O74" s="226">
        <v>99.7</v>
      </c>
      <c r="P74" s="227">
        <v>101.2</v>
      </c>
      <c r="Q74" s="226">
        <v>102.7</v>
      </c>
      <c r="R74" s="226">
        <v>104.2</v>
      </c>
      <c r="S74" s="227">
        <v>105.6</v>
      </c>
      <c r="T74" s="226">
        <v>107.1</v>
      </c>
      <c r="U74" s="226">
        <v>108.6</v>
      </c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</row>
    <row r="75" ht="12.75" customHeight="1">
      <c r="A75" s="2"/>
      <c r="B75" s="227">
        <v>73.0</v>
      </c>
      <c r="C75" s="226">
        <v>76.7</v>
      </c>
      <c r="D75" s="226">
        <v>79.4</v>
      </c>
      <c r="E75" s="226">
        <v>81.7</v>
      </c>
      <c r="F75" s="227">
        <v>83.9</v>
      </c>
      <c r="G75" s="226">
        <v>86.1</v>
      </c>
      <c r="H75" s="226">
        <v>88.1</v>
      </c>
      <c r="I75" s="227">
        <v>90.3</v>
      </c>
      <c r="J75" s="226">
        <v>92.4</v>
      </c>
      <c r="K75" s="227">
        <v>94.6</v>
      </c>
      <c r="L75" s="226">
        <v>96.3</v>
      </c>
      <c r="M75" s="227">
        <v>97.9</v>
      </c>
      <c r="N75" s="226">
        <v>99.5</v>
      </c>
      <c r="O75" s="226">
        <v>101.0</v>
      </c>
      <c r="P75" s="227">
        <v>102.6</v>
      </c>
      <c r="Q75" s="226">
        <v>104.1</v>
      </c>
      <c r="R75" s="226">
        <v>105.6</v>
      </c>
      <c r="S75" s="227">
        <v>107.1</v>
      </c>
      <c r="T75" s="226">
        <v>108.6</v>
      </c>
      <c r="U75" s="226">
        <v>110.1</v>
      </c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</row>
    <row r="76" ht="12.75" customHeight="1">
      <c r="A76" s="2"/>
      <c r="B76" s="227">
        <v>74.0</v>
      </c>
      <c r="C76" s="226">
        <v>77.7</v>
      </c>
      <c r="D76" s="226">
        <v>80.5</v>
      </c>
      <c r="E76" s="226">
        <v>82.9</v>
      </c>
      <c r="F76" s="227">
        <v>85.1</v>
      </c>
      <c r="G76" s="226">
        <v>87.2</v>
      </c>
      <c r="H76" s="226">
        <v>89.4</v>
      </c>
      <c r="I76" s="227">
        <v>91.5</v>
      </c>
      <c r="J76" s="226">
        <v>93.7</v>
      </c>
      <c r="K76" s="227">
        <v>95.9</v>
      </c>
      <c r="L76" s="226">
        <v>97.6</v>
      </c>
      <c r="M76" s="227">
        <v>99.2</v>
      </c>
      <c r="N76" s="226">
        <v>100.8</v>
      </c>
      <c r="O76" s="226">
        <v>102.4</v>
      </c>
      <c r="P76" s="227">
        <v>104.0</v>
      </c>
      <c r="Q76" s="226">
        <v>105.5</v>
      </c>
      <c r="R76" s="226">
        <v>107.1</v>
      </c>
      <c r="S76" s="227">
        <v>108.6</v>
      </c>
      <c r="T76" s="226">
        <v>110.1</v>
      </c>
      <c r="U76" s="226">
        <v>111.6</v>
      </c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</row>
    <row r="77" ht="12.75" customHeight="1">
      <c r="A77" s="2"/>
      <c r="B77" s="227">
        <v>75.0</v>
      </c>
      <c r="C77" s="226">
        <v>78.8</v>
      </c>
      <c r="D77" s="226">
        <v>81.6</v>
      </c>
      <c r="E77" s="226">
        <v>84.0</v>
      </c>
      <c r="F77" s="227">
        <v>86.2</v>
      </c>
      <c r="G77" s="226">
        <v>88.4</v>
      </c>
      <c r="H77" s="226">
        <v>90.6</v>
      </c>
      <c r="I77" s="227">
        <v>92.7</v>
      </c>
      <c r="J77" s="226">
        <v>94.9</v>
      </c>
      <c r="K77" s="227">
        <v>97.2</v>
      </c>
      <c r="L77" s="226">
        <v>98.9</v>
      </c>
      <c r="M77" s="227">
        <v>100.6</v>
      </c>
      <c r="N77" s="226">
        <v>102.2</v>
      </c>
      <c r="O77" s="226">
        <v>103.8</v>
      </c>
      <c r="P77" s="227">
        <v>105.4</v>
      </c>
      <c r="Q77" s="226">
        <v>107.0</v>
      </c>
      <c r="R77" s="226">
        <v>108.5</v>
      </c>
      <c r="S77" s="227">
        <v>110.0</v>
      </c>
      <c r="T77" s="226">
        <v>111.6</v>
      </c>
      <c r="U77" s="226">
        <v>113.1</v>
      </c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</row>
    <row r="78" ht="12.75" customHeight="1">
      <c r="A78" s="2"/>
      <c r="B78" s="227">
        <v>76.0</v>
      </c>
      <c r="C78" s="226">
        <v>79.8</v>
      </c>
      <c r="D78" s="226">
        <v>82.6</v>
      </c>
      <c r="E78" s="226">
        <v>85.1</v>
      </c>
      <c r="F78" s="227">
        <v>87.4</v>
      </c>
      <c r="G78" s="226">
        <v>89.6</v>
      </c>
      <c r="H78" s="226">
        <v>91.8</v>
      </c>
      <c r="I78" s="227">
        <v>94.0</v>
      </c>
      <c r="J78" s="226">
        <v>96.2</v>
      </c>
      <c r="K78" s="227">
        <v>98.5</v>
      </c>
      <c r="L78" s="226">
        <v>100.2</v>
      </c>
      <c r="M78" s="227">
        <v>101.9</v>
      </c>
      <c r="N78" s="226">
        <v>103.6</v>
      </c>
      <c r="O78" s="226">
        <v>105.2</v>
      </c>
      <c r="P78" s="227">
        <v>106.8</v>
      </c>
      <c r="Q78" s="226">
        <v>108.4</v>
      </c>
      <c r="R78" s="226">
        <v>110.0</v>
      </c>
      <c r="S78" s="227">
        <v>111.5</v>
      </c>
      <c r="T78" s="226">
        <v>113.1</v>
      </c>
      <c r="U78" s="226">
        <v>114.6</v>
      </c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</row>
    <row r="79" ht="12.75" customHeight="1">
      <c r="A79" s="2"/>
      <c r="B79" s="227">
        <v>77.0</v>
      </c>
      <c r="C79" s="226">
        <v>80.9</v>
      </c>
      <c r="D79" s="226">
        <v>83.7</v>
      </c>
      <c r="E79" s="226">
        <v>86.2</v>
      </c>
      <c r="F79" s="227">
        <v>88.5</v>
      </c>
      <c r="G79" s="226">
        <v>90.8</v>
      </c>
      <c r="H79" s="226">
        <v>93.0</v>
      </c>
      <c r="I79" s="227">
        <v>95.2</v>
      </c>
      <c r="J79" s="226">
        <v>97.5</v>
      </c>
      <c r="K79" s="227">
        <v>99.8</v>
      </c>
      <c r="L79" s="226">
        <v>101.5</v>
      </c>
      <c r="M79" s="227">
        <v>103.2</v>
      </c>
      <c r="N79" s="226">
        <v>104.9</v>
      </c>
      <c r="O79" s="226">
        <v>106.6</v>
      </c>
      <c r="P79" s="227">
        <v>108.2</v>
      </c>
      <c r="Q79" s="226">
        <v>109.8</v>
      </c>
      <c r="R79" s="226">
        <v>111.4</v>
      </c>
      <c r="S79" s="227">
        <v>113.0</v>
      </c>
      <c r="T79" s="226">
        <v>114.5</v>
      </c>
      <c r="U79" s="226">
        <v>116.1</v>
      </c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</row>
    <row r="80" ht="12.75" customHeight="1">
      <c r="A80" s="2"/>
      <c r="B80" s="227">
        <v>78.0</v>
      </c>
      <c r="C80" s="226">
        <v>81.9</v>
      </c>
      <c r="D80" s="226">
        <v>84.8</v>
      </c>
      <c r="E80" s="226">
        <v>87.3</v>
      </c>
      <c r="F80" s="227">
        <v>89.7</v>
      </c>
      <c r="G80" s="226">
        <v>91.9</v>
      </c>
      <c r="H80" s="226">
        <v>94.2</v>
      </c>
      <c r="I80" s="227">
        <v>96.4</v>
      </c>
      <c r="J80" s="226">
        <v>98.7</v>
      </c>
      <c r="K80" s="227">
        <v>101.1</v>
      </c>
      <c r="L80" s="226">
        <v>102.9</v>
      </c>
      <c r="M80" s="227">
        <v>104.6</v>
      </c>
      <c r="N80" s="226">
        <v>106.3</v>
      </c>
      <c r="O80" s="226">
        <v>108.0</v>
      </c>
      <c r="P80" s="227">
        <v>109.6</v>
      </c>
      <c r="Q80" s="226">
        <v>111.2</v>
      </c>
      <c r="R80" s="226">
        <v>112.9</v>
      </c>
      <c r="S80" s="227">
        <v>114.4</v>
      </c>
      <c r="T80" s="226">
        <v>116.0</v>
      </c>
      <c r="U80" s="226">
        <v>117.6</v>
      </c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</row>
    <row r="81" ht="12.75" customHeight="1">
      <c r="A81" s="2"/>
      <c r="B81" s="227">
        <v>79.0</v>
      </c>
      <c r="C81" s="226">
        <v>83.0</v>
      </c>
      <c r="D81" s="226">
        <v>85.9</v>
      </c>
      <c r="E81" s="226">
        <v>88.5</v>
      </c>
      <c r="F81" s="227">
        <v>90.8</v>
      </c>
      <c r="G81" s="226">
        <v>93.1</v>
      </c>
      <c r="H81" s="226">
        <v>95.4</v>
      </c>
      <c r="I81" s="227">
        <v>97.7</v>
      </c>
      <c r="J81" s="226">
        <v>100.0</v>
      </c>
      <c r="K81" s="227">
        <v>102.4</v>
      </c>
      <c r="L81" s="226">
        <v>104.2</v>
      </c>
      <c r="M81" s="227">
        <v>105.9</v>
      </c>
      <c r="N81" s="226">
        <v>107.6</v>
      </c>
      <c r="O81" s="226">
        <v>109.3</v>
      </c>
      <c r="P81" s="227">
        <v>111.0</v>
      </c>
      <c r="Q81" s="226">
        <v>112.7</v>
      </c>
      <c r="R81" s="226">
        <v>114.3</v>
      </c>
      <c r="S81" s="227">
        <v>115.9</v>
      </c>
      <c r="T81" s="226">
        <v>117.5</v>
      </c>
      <c r="U81" s="226">
        <v>119.1</v>
      </c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</row>
    <row r="82" ht="12.75" customHeight="1">
      <c r="A82" s="2"/>
      <c r="B82" s="227">
        <v>80.0</v>
      </c>
      <c r="C82" s="226">
        <v>84.0</v>
      </c>
      <c r="D82" s="226">
        <v>87.0</v>
      </c>
      <c r="E82" s="226">
        <v>89.6</v>
      </c>
      <c r="F82" s="227">
        <v>92.0</v>
      </c>
      <c r="G82" s="226">
        <v>94.3</v>
      </c>
      <c r="H82" s="226">
        <v>96.6</v>
      </c>
      <c r="I82" s="227">
        <v>98.9</v>
      </c>
      <c r="J82" s="226">
        <v>101.3</v>
      </c>
      <c r="K82" s="227">
        <v>103.7</v>
      </c>
      <c r="L82" s="226">
        <v>105.5</v>
      </c>
      <c r="M82" s="227">
        <v>107.3</v>
      </c>
      <c r="N82" s="226">
        <v>109.0</v>
      </c>
      <c r="O82" s="226">
        <v>110.7</v>
      </c>
      <c r="P82" s="227">
        <v>112.4</v>
      </c>
      <c r="Q82" s="226">
        <v>114.1</v>
      </c>
      <c r="R82" s="226">
        <v>115.7</v>
      </c>
      <c r="S82" s="227">
        <v>117.4</v>
      </c>
      <c r="T82" s="226">
        <v>119.0</v>
      </c>
      <c r="U82" s="226">
        <v>120.6</v>
      </c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</row>
    <row r="83" ht="12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 ht="12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 ht="12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 ht="12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 ht="12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 ht="12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 ht="12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 ht="12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 ht="12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 ht="12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 ht="12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 ht="12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 ht="12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 ht="12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 ht="12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 ht="12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 ht="12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 ht="12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 ht="12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 ht="12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 ht="12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 ht="12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 ht="12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 ht="12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 ht="12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 ht="12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 ht="12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 ht="12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 ht="12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 ht="12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 ht="12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 ht="12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 ht="12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 ht="12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 ht="12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 ht="12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 ht="12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 ht="12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 ht="12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 ht="12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 ht="12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 ht="12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 ht="12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 ht="12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 ht="12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 ht="12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 ht="12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 ht="12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 ht="12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 ht="12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 ht="12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 ht="12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 ht="12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 ht="12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 ht="12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 ht="12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 ht="12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 ht="12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 ht="12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 ht="12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 ht="12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 ht="12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 ht="12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 ht="12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 ht="12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 ht="12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 ht="12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 ht="12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 ht="12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 ht="12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 ht="12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 ht="12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 ht="12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 ht="12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 ht="12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 ht="12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 ht="12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 ht="12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 ht="12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 ht="12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 ht="12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 ht="12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 ht="12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 ht="12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 ht="12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 ht="12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 ht="12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 ht="12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 ht="12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 ht="12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 ht="12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 ht="12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 ht="12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 ht="12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 ht="12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 ht="12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 ht="12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 ht="12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 ht="12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 ht="12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 ht="12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 ht="12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 ht="12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 ht="12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 ht="12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 ht="12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 ht="12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 ht="12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 ht="12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 ht="12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 ht="12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 ht="12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 ht="12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 ht="12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 ht="12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 ht="12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 ht="12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 ht="12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 ht="12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 ht="12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 ht="12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 ht="12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 ht="12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 ht="12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 ht="12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 ht="12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 ht="12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 ht="12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 ht="12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 ht="12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 ht="12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 ht="12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 ht="12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 ht="12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 ht="12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 ht="12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 ht="12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 ht="12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 ht="12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 ht="12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 ht="12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 ht="12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 ht="12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 ht="12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 ht="12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 ht="12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 ht="12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 ht="12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 ht="12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 ht="12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 ht="12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 ht="12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 ht="12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 ht="12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 ht="12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 ht="12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 ht="12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 ht="12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 ht="12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 ht="12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 ht="12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 ht="12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 ht="12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 ht="12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 ht="12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 ht="12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 ht="12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 ht="12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 ht="12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 ht="12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 ht="12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 ht="12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 ht="12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 ht="12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 ht="12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 ht="12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 ht="12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 ht="12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 ht="12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 ht="12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 ht="12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 ht="12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 ht="12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 ht="12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 ht="12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 ht="12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 ht="12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 ht="12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 ht="12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 ht="12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 ht="12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 ht="12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 ht="12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 ht="12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 ht="12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 ht="12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 ht="12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 ht="12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 ht="12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 ht="12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 ht="12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 ht="12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 ht="12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 ht="12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 ht="12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 ht="12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 ht="12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 ht="12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 ht="12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 ht="12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 ht="12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 ht="12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 ht="12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 ht="12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 ht="12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 ht="12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 ht="12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 ht="12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 ht="12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 ht="12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 ht="12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 ht="12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 ht="12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 ht="12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 ht="12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 ht="12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 ht="12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 ht="12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 ht="12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 ht="12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 ht="12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 ht="12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 ht="12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 ht="12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 ht="12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 ht="12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 ht="12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 ht="12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 ht="12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 ht="12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 ht="12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 ht="12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 ht="12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 ht="12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 ht="12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 ht="12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 ht="12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 ht="12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 ht="12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 ht="12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 ht="12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 ht="12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 ht="12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 ht="12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 ht="12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 ht="12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 ht="12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 ht="12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 ht="12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 ht="12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 ht="12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 ht="12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 ht="12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 ht="12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 ht="12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 ht="12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 ht="12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 ht="12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 ht="12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 ht="12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 ht="12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 ht="12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 ht="12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 ht="12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 ht="12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 ht="12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 ht="12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 ht="12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 ht="12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 ht="12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 ht="12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 ht="12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 ht="12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 ht="12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 ht="12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 ht="12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 ht="12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 ht="12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 ht="12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 ht="12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 ht="12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 ht="12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 ht="12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 ht="12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 ht="12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 ht="12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 ht="12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 ht="12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 ht="12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 ht="12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 ht="12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 ht="12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 ht="12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 ht="12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 ht="12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 ht="12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 ht="12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 ht="12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 ht="12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 ht="12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 ht="12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 ht="12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 ht="12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 ht="12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 ht="12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 ht="12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 ht="12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 ht="12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 ht="12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 ht="12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 ht="12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 ht="12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 ht="12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 ht="12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 ht="12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 ht="12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 ht="12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 ht="12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 ht="12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 ht="12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 ht="12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 ht="12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 ht="12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 ht="12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 ht="12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 ht="12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 ht="12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 ht="12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 ht="12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 ht="12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 ht="12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 ht="12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 ht="12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 ht="12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 ht="12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 ht="12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 ht="12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 ht="12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 ht="12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 ht="12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 ht="12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 ht="12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 ht="12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 ht="12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 ht="12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 ht="12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 ht="12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 ht="12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 ht="12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 ht="12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 ht="12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 ht="12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 ht="12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 ht="12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 ht="12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 ht="12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 ht="12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 ht="12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 ht="12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 ht="12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 ht="12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 ht="12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 ht="12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 ht="12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 ht="12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 ht="12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 ht="12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 ht="12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 ht="12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 ht="12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 ht="12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 ht="12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 ht="12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 ht="12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 ht="12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 ht="12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 ht="12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 ht="12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 ht="12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 ht="12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 ht="12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 ht="12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 ht="12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 ht="12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 ht="12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 ht="12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 ht="12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 ht="12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 ht="12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 ht="12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 ht="12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 ht="12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 ht="12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 ht="12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 ht="12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 ht="12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 ht="12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 ht="12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 ht="12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 ht="12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 ht="12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 ht="12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 ht="12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 ht="12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 ht="12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 ht="12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 ht="12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 ht="12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 ht="12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 ht="12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 ht="12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 ht="12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 ht="12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 ht="12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 ht="12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 ht="12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 ht="12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 ht="12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 ht="12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 ht="12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 ht="12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 ht="12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 ht="12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 ht="12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 ht="12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 ht="12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 ht="12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 ht="12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 ht="12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 ht="12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 ht="12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 ht="12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 ht="12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 ht="12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 ht="12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 ht="12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 ht="12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 ht="12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 ht="12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 ht="12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 ht="12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 ht="12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 ht="12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 ht="12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 ht="12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 ht="12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 ht="12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 ht="12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 ht="12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 ht="12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 ht="12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 ht="12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 ht="12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 ht="12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 ht="12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 ht="12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 ht="12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 ht="12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 ht="12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 ht="12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 ht="12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 ht="12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 ht="12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 ht="12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 ht="12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 ht="12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 ht="12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 ht="12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 ht="12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 ht="12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 ht="12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 ht="12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 ht="12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 ht="12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 ht="12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 ht="12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 ht="12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 ht="12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 ht="12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 ht="12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 ht="12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 ht="12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 ht="12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 ht="12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 ht="12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 ht="12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 ht="12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 ht="12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 ht="12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 ht="12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 ht="12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 ht="12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 ht="12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 ht="12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 ht="12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 ht="12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 ht="12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 ht="12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 ht="12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 ht="12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 ht="12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 ht="12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 ht="12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 ht="12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 ht="12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 ht="12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 ht="12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 ht="12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 ht="12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 ht="12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 ht="12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 ht="12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 ht="12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 ht="12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 ht="12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 ht="12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 ht="12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 ht="12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 ht="12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 ht="12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 ht="12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 ht="12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 ht="12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 ht="12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 ht="12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 ht="12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 ht="12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 ht="12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 ht="12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 ht="12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 ht="12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 ht="12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 ht="12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 ht="12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 ht="12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 ht="12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 ht="12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 ht="12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 ht="12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 ht="12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 ht="12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 ht="12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 ht="12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 ht="12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 ht="12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 ht="12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 ht="12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 ht="12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 ht="12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 ht="12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 ht="12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 ht="12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 ht="12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 ht="12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 ht="12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 ht="12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 ht="12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 ht="12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 ht="12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 ht="12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 ht="12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 ht="12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 ht="12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 ht="12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 ht="12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 ht="12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 ht="12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 ht="12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 ht="12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 ht="12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 ht="12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 ht="12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 ht="12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 ht="12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 ht="12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 ht="12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 ht="12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 ht="12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 ht="12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 ht="12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 ht="12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 ht="12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 ht="12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 ht="12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 ht="12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 ht="12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 ht="12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 ht="12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 ht="12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 ht="12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 ht="12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 ht="12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 ht="12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 ht="12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 ht="12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 ht="12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 ht="12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 ht="12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 ht="12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 ht="12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 ht="12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 ht="12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 ht="12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 ht="12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 ht="12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 ht="12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 ht="12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 ht="12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 ht="12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 ht="12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 ht="12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 ht="12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 ht="12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 ht="12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 ht="12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 ht="12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 ht="12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 ht="12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 ht="12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 ht="12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 ht="12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 ht="12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 ht="12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 ht="12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 ht="12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 ht="12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 ht="12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 ht="12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 ht="12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 ht="12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 ht="12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 ht="12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 ht="12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 ht="12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 ht="12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 ht="12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 ht="12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 ht="12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 ht="12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 ht="12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 ht="12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 ht="12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 ht="12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 ht="12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 ht="12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 ht="12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 ht="12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 ht="12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 ht="12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 ht="12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 ht="12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 ht="12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 ht="12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 ht="12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 ht="12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 ht="12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 ht="12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 ht="12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 ht="12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 ht="12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 ht="12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 ht="12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 ht="12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 ht="12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 ht="12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 ht="12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 ht="12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 ht="12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 ht="12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 ht="12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 ht="12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 ht="12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 ht="12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 ht="12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 ht="12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 ht="12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 ht="12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 ht="12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 ht="12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 ht="12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 ht="12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 ht="12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 ht="12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 ht="12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 ht="12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 ht="12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 ht="12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 ht="12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 ht="12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 ht="12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 ht="12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 ht="12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 ht="12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 ht="12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 ht="12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 ht="12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 ht="12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 ht="12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 ht="12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 ht="12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 ht="12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 ht="12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 ht="12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 ht="12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 ht="12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 ht="12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 ht="12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 ht="12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 ht="12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 ht="12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 ht="12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 ht="12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 ht="12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 ht="12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 ht="12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 ht="12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 ht="12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 ht="12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 ht="12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 ht="12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 ht="12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 ht="12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 ht="12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 ht="12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 ht="12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 ht="12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 ht="12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 ht="12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 ht="12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 ht="12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 ht="12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 ht="12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 ht="12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 ht="12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 ht="12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 ht="12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 ht="12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 ht="12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 ht="12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 ht="12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 ht="12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 ht="12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 ht="12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 ht="12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 ht="12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 ht="12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 ht="12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 ht="12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 ht="12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 ht="12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 ht="12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 ht="12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 ht="12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 ht="12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 ht="12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 ht="12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 ht="12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 ht="12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 ht="12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 ht="12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 ht="12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 ht="12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 ht="12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 ht="12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 ht="12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 ht="12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 ht="12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 ht="12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 ht="12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 ht="12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 ht="12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 ht="12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 ht="12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 ht="12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 ht="12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 ht="12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 ht="12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 ht="12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 ht="12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 ht="12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 ht="12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 ht="12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 ht="12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 ht="12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 ht="12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 ht="12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 ht="12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 ht="12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 ht="12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 ht="12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 ht="12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 ht="12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 ht="12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 ht="12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 ht="12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 ht="12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 ht="12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 ht="12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 ht="12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 ht="12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 ht="12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 ht="12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 ht="12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 ht="12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 ht="12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 ht="12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 ht="12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 ht="12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 ht="12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 ht="12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 ht="12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 ht="12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 ht="12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 ht="12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 ht="12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 ht="12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 ht="12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 ht="12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 ht="12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 ht="12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 ht="12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 ht="12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 ht="12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 ht="12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 ht="12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 ht="12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 ht="12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 ht="12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 ht="12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 ht="12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 ht="12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 ht="12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 ht="12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 ht="12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 ht="12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 ht="12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 ht="12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 ht="12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 ht="12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 ht="12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 ht="12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 ht="12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 ht="12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 ht="12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 ht="12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 ht="12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 ht="12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 ht="12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 ht="12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 ht="12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 ht="12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 ht="12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 ht="12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 ht="12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 ht="12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 ht="12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 ht="12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 ht="12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 ht="12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 ht="12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 ht="12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 ht="12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 ht="12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 ht="12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 ht="12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 ht="12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 ht="12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 ht="12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 ht="12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 ht="12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 ht="12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 ht="12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 ht="12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 ht="12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 ht="12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 ht="12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 ht="12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 ht="12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 ht="12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 ht="12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 ht="12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 ht="12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 ht="12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 ht="12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 ht="12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 ht="12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 ht="12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 ht="12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 ht="12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 ht="12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 ht="12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 ht="12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 ht="12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 ht="12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 ht="12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 ht="12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 ht="12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 ht="12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 ht="12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 ht="12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 ht="12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 ht="12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 ht="12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 ht="12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 ht="12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 ht="12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 ht="12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 ht="12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