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<sst xmlns="http://schemas.openxmlformats.org/spreadsheetml/2006/main" count="1350" uniqueCount="346">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</sst>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370456597"/>
        <c:axId val="412498135"/>
      </c:scatterChart>
      <c:valAx>
        <c:axId val="370456597"/>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12498135"/>
      </c:valAx>
      <c:valAx>
        <c:axId val="412498135"/>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37045659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851687079"/>
        <c:axId val="1344971442"/>
      </c:scatterChart>
      <c:valAx>
        <c:axId val="185168707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971442"/>
      </c:valAx>
      <c:valAx>
        <c:axId val="1344971442"/>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16870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772526720"/>
        <c:axId val="718586094"/>
      </c:scatterChart>
      <c:valAx>
        <c:axId val="7725267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718586094"/>
      </c:valAx>
      <c:valAx>
        <c:axId val="718586094"/>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72526720"/>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963748362"/>
        <c:axId val="1962879352"/>
      </c:scatterChart>
      <c:valAx>
        <c:axId val="19637483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62879352"/>
      </c:valAx>
      <c:valAx>
        <c:axId val="196287935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963748362"/>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677931889"/>
        <c:axId val="818741448"/>
      </c:lineChart>
      <c:catAx>
        <c:axId val="6779318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8741448"/>
      </c:catAx>
      <c:valAx>
        <c:axId val="818741448"/>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7931889"/>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631981189"/>
        <c:axId val="1624014030"/>
      </c:lineChart>
      <c:catAx>
        <c:axId val="16319811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4014030"/>
      </c:catAx>
      <c:valAx>
        <c:axId val="1624014030"/>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198118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339500571"/>
        <c:axId val="1216572502"/>
      </c:lineChart>
      <c:catAx>
        <c:axId val="13395005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16572502"/>
      </c:catAx>
      <c:valAx>
        <c:axId val="121657250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3950057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00856932"/>
        <c:axId val="1856896123"/>
      </c:lineChart>
      <c:catAx>
        <c:axId val="1008569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56896123"/>
      </c:catAx>
      <c:valAx>
        <c:axId val="1856896123"/>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0856932"/>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872806512"/>
        <c:axId val="2012583633"/>
      </c:lineChart>
      <c:catAx>
        <c:axId val="8728065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2012583633"/>
      </c:catAx>
      <c:valAx>
        <c:axId val="2012583633"/>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7280651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738120911"/>
        <c:axId val="2131817510"/>
      </c:scatterChart>
      <c:valAx>
        <c:axId val="1738120911"/>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31817510"/>
      </c:valAx>
      <c:valAx>
        <c:axId val="2131817510"/>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3812091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979674177"/>
        <c:axId val="1226086141"/>
      </c:lineChart>
      <c:catAx>
        <c:axId val="19796741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26086141"/>
      </c:catAx>
      <c:valAx>
        <c:axId val="1226086141"/>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7967417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5" t="s">
        <v>160</v>
      </c>
      <c r="AP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3"/>
      <c r="AP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c r="AP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c r="AP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c r="AP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c r="AP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c r="AP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7"/>
      <c r="AP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99"/>
      <c r="AP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7"/>
      <c r="AP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99"/>
      <c r="AP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7"/>
      <c r="AP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99"/>
      <c r="AP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c r="AP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9"/>
      <c r="AP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9"/>
      <c r="AP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9"/>
      <c r="AP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c r="AP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c r="AP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c r="AP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c r="AP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c r="AP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9"/>
      <c r="AP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9"/>
      <c r="AP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9"/>
      <c r="AP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7"/>
      <c r="AP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9"/>
      <c r="AP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c r="AP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3"/>
      <c r="AP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c r="AP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3"/>
      <c r="AP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c r="AP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3"/>
      <c r="AP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M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4"/>
      <c r="AO59" s="104"/>
      <c r="AP59" s="104"/>
    </row>
    <row r="60">
      <c r="A60" s="102" t="s">
        <v>154</v>
      </c>
      <c r="B60" s="102"/>
      <c r="C60" s="102">
        <v>4.6</v>
      </c>
      <c r="D60" s="103" t="str">
        <f t="shared" ref="D60:AM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4"/>
      <c r="AO60" s="104"/>
      <c r="AP60" s="104"/>
    </row>
    <row r="61">
      <c r="A61" s="102" t="s">
        <v>141</v>
      </c>
      <c r="B61" s="102"/>
      <c r="C61" s="102"/>
      <c r="D61" s="103" t="str">
        <f t="shared" ref="D61:AM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4"/>
      <c r="AO61" s="104"/>
      <c r="AP61" s="104"/>
    </row>
    <row r="62">
      <c r="A62" s="102" t="s">
        <v>49</v>
      </c>
      <c r="B62" s="102"/>
      <c r="C62" s="102">
        <v>8.0</v>
      </c>
      <c r="D62" s="105">
        <f t="shared" ref="D62:AM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4"/>
      <c r="AO62" s="104"/>
      <c r="AP62" s="104"/>
    </row>
    <row r="63">
      <c r="A63" s="102" t="s">
        <v>155</v>
      </c>
      <c r="B63" s="107"/>
      <c r="C63" s="107"/>
      <c r="D63" s="103">
        <f t="shared" ref="D63:AM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4"/>
      <c r="AO63" s="104"/>
      <c r="AP63" s="104"/>
    </row>
    <row r="64">
      <c r="A64" s="102" t="s">
        <v>156</v>
      </c>
      <c r="B64" s="107"/>
      <c r="C64" s="107"/>
      <c r="D64" s="103">
        <f t="shared" ref="D64:AM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4"/>
      <c r="AO64" s="104"/>
      <c r="AP64" s="104"/>
    </row>
    <row r="65">
      <c r="A65" s="102" t="s">
        <v>157</v>
      </c>
      <c r="B65" s="107"/>
      <c r="C65" s="107"/>
      <c r="D65" s="103">
        <f t="shared" ref="D65:AM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4"/>
      <c r="AO65" s="104"/>
      <c r="AP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Q34" s="15" t="s">
        <v>26</v>
      </c>
      <c r="R34" s="68">
        <v>85.0</v>
      </c>
    </row>
    <row r="35">
      <c r="B35" s="3" t="s">
        <v>217</v>
      </c>
      <c r="D35" s="3">
        <v>7.5</v>
      </c>
      <c r="Q35" s="15" t="s">
        <v>37</v>
      </c>
      <c r="R35" s="68">
        <v>3.0</v>
      </c>
    </row>
    <row r="36">
      <c r="D36" s="3">
        <v>10.0</v>
      </c>
      <c r="Q36" s="15" t="s">
        <v>36</v>
      </c>
      <c r="R36" s="43">
        <f>ROUND(IF(R35&lt;10,AVERAGE(R34/(1.0278-0.0278*R35),R34*R35^0.1),AVERAGE(R34*(1+0.0333*R35),R34*R35^0.1)),1)</f>
        <v>92.4</v>
      </c>
    </row>
    <row r="37">
      <c r="B37" s="3" t="s">
        <v>217</v>
      </c>
      <c r="D37" s="3">
        <v>7.5</v>
      </c>
    </row>
    <row r="38">
      <c r="D38" s="3">
        <v>10.0</v>
      </c>
    </row>
    <row r="39">
      <c r="A39" s="3" t="s">
        <v>49</v>
      </c>
      <c r="B39" s="3" t="s">
        <v>49</v>
      </c>
      <c r="C39" s="3">
        <v>8.0</v>
      </c>
      <c r="E39" s="3">
        <v>20.0</v>
      </c>
    </row>
    <row r="40">
      <c r="A40" s="3" t="s">
        <v>218</v>
      </c>
      <c r="E40" s="3">
        <v>10.0</v>
      </c>
    </row>
    <row r="41">
      <c r="B41" s="3" t="s">
        <v>49</v>
      </c>
      <c r="C41" s="3">
        <v>8.0</v>
      </c>
      <c r="E41" s="3">
        <v>20.0</v>
      </c>
    </row>
    <row r="42">
      <c r="A42" s="3" t="s">
        <v>219</v>
      </c>
      <c r="E42" s="3">
        <v>10.0</v>
      </c>
    </row>
    <row r="43">
      <c r="B43" s="3" t="s">
        <v>169</v>
      </c>
      <c r="C43" s="3">
        <v>8.0</v>
      </c>
      <c r="E43" s="3">
        <v>20.0</v>
      </c>
    </row>
    <row r="44">
      <c r="E44" s="3">
        <v>3.0</v>
      </c>
    </row>
    <row r="45">
      <c r="B45" s="3" t="s">
        <v>169</v>
      </c>
      <c r="C45" s="3">
        <v>8.0</v>
      </c>
      <c r="E45" s="3">
        <v>20.0</v>
      </c>
    </row>
    <row r="46">
      <c r="E46" s="3">
        <v>2.0</v>
      </c>
    </row>
    <row r="47">
      <c r="B47" s="3" t="s">
        <v>171</v>
      </c>
      <c r="E47" s="3"/>
      <c r="G47" s="169">
        <v>7.5</v>
      </c>
    </row>
    <row r="48">
      <c r="B48" s="3"/>
      <c r="E48" s="3"/>
      <c r="G48" s="169">
        <v>5.0</v>
      </c>
    </row>
    <row r="49">
      <c r="B49" s="3" t="s">
        <v>171</v>
      </c>
      <c r="E49" s="3"/>
      <c r="G49" s="169">
        <v>7.5</v>
      </c>
    </row>
    <row r="50">
      <c r="B50" s="3"/>
      <c r="E50" s="3"/>
      <c r="G50" s="169">
        <v>5.0</v>
      </c>
    </row>
    <row r="51">
      <c r="B51" s="3" t="s">
        <v>171</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208</v>
      </c>
      <c r="B71" s="3" t="s">
        <v>209</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209</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209</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211</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211</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211</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205</v>
      </c>
      <c r="C83" s="3">
        <v>8.0</v>
      </c>
      <c r="N83" s="3">
        <v>50.0</v>
      </c>
    </row>
    <row r="84">
      <c r="N84" s="3">
        <v>1.0</v>
      </c>
    </row>
    <row r="85">
      <c r="B85" s="3" t="s">
        <v>205</v>
      </c>
      <c r="C85" s="3">
        <v>8.0</v>
      </c>
      <c r="N85" s="3">
        <v>50.0</v>
      </c>
    </row>
    <row r="86">
      <c r="N86" s="3">
        <v>1.0</v>
      </c>
    </row>
    <row r="87">
      <c r="B87" s="3" t="s">
        <v>205</v>
      </c>
      <c r="C87" s="3">
        <v>8.0</v>
      </c>
      <c r="N87" s="3">
        <v>50.0</v>
      </c>
    </row>
    <row r="88">
      <c r="N88" s="3">
        <v>1.0</v>
      </c>
    </row>
    <row r="89">
      <c r="B89" s="3" t="s">
        <v>205</v>
      </c>
      <c r="C89" s="3">
        <v>8.0</v>
      </c>
    </row>
    <row r="91">
      <c r="B91" s="3" t="s">
        <v>205</v>
      </c>
      <c r="C91" s="3">
        <v>8.0</v>
      </c>
    </row>
    <row r="93">
      <c r="B93" s="3" t="s">
        <v>205</v>
      </c>
      <c r="C93" s="3">
        <v>8.0</v>
      </c>
    </row>
    <row r="95">
      <c r="B95" s="3" t="s">
        <v>205</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182</v>
      </c>
      <c r="C103" s="3">
        <v>8.0</v>
      </c>
      <c r="N103" s="3">
        <v>40.0</v>
      </c>
    </row>
    <row r="104">
      <c r="N104" s="3">
        <v>3.0</v>
      </c>
    </row>
    <row r="105">
      <c r="B105" s="3" t="s">
        <v>182</v>
      </c>
      <c r="C105" s="3">
        <v>8.0</v>
      </c>
      <c r="N105" s="3">
        <v>44.0</v>
      </c>
    </row>
    <row r="106">
      <c r="N106" s="3">
        <v>3.0</v>
      </c>
    </row>
    <row r="107">
      <c r="B107" s="3" t="s">
        <v>182</v>
      </c>
      <c r="C107" s="3">
        <v>8.0</v>
      </c>
      <c r="N107" s="3">
        <v>48.0</v>
      </c>
    </row>
    <row r="108">
      <c r="N108" s="3">
        <v>3.0</v>
      </c>
    </row>
    <row r="109">
      <c r="B109" s="3" t="s">
        <v>182</v>
      </c>
      <c r="C109" s="3">
        <v>8.0</v>
      </c>
      <c r="N109" s="3">
        <v>50.0</v>
      </c>
    </row>
    <row r="110">
      <c r="N110" s="3">
        <v>2.0</v>
      </c>
    </row>
    <row r="111">
      <c r="B111" s="3" t="s">
        <v>182</v>
      </c>
      <c r="C111" s="3">
        <v>8.0</v>
      </c>
      <c r="N111" s="3">
        <v>52.0</v>
      </c>
    </row>
    <row r="112">
      <c r="N112" s="3">
        <v>2.0</v>
      </c>
    </row>
    <row r="113">
      <c r="B113" s="3" t="s">
        <v>182</v>
      </c>
      <c r="C113" s="3">
        <v>8.0</v>
      </c>
      <c r="N113" s="3">
        <v>54.0</v>
      </c>
    </row>
    <row r="114">
      <c r="N114" s="3">
        <v>2.0</v>
      </c>
    </row>
    <row r="115">
      <c r="B115" s="3" t="s">
        <v>182</v>
      </c>
      <c r="C115" s="3">
        <v>8.0</v>
      </c>
      <c r="N115" s="3">
        <v>56.0</v>
      </c>
    </row>
    <row r="116">
      <c r="N116" s="3">
        <v>1.0</v>
      </c>
    </row>
    <row r="117">
      <c r="B117" s="3" t="s">
        <v>182</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16" t="s">
        <v>160</v>
      </c>
      <c r="V1" s="101" t="s">
        <v>223</v>
      </c>
      <c r="W1" s="170"/>
      <c r="X1" s="3" t="s">
        <v>224</v>
      </c>
      <c r="Y1" s="3" t="s">
        <v>224</v>
      </c>
      <c r="Z1" s="3" t="s">
        <v>224</v>
      </c>
      <c r="AA1" s="3" t="s">
        <v>224</v>
      </c>
      <c r="AB1" s="3" t="s">
        <v>224</v>
      </c>
      <c r="AC1" s="3" t="s">
        <v>224</v>
      </c>
      <c r="AE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V2" s="172"/>
      <c r="W2" s="101"/>
      <c r="AA2" s="3" t="s">
        <v>225</v>
      </c>
      <c r="AC2" s="3" t="s">
        <v>226</v>
      </c>
    </row>
    <row r="3">
      <c r="B3" s="173" t="s">
        <v>163</v>
      </c>
      <c r="C3" s="174">
        <v>8.0</v>
      </c>
      <c r="D3" s="175">
        <v>60.0</v>
      </c>
      <c r="E3" s="175">
        <v>60.0</v>
      </c>
      <c r="F3" s="176">
        <v>60.0</v>
      </c>
      <c r="G3" s="176">
        <v>60.0</v>
      </c>
      <c r="H3" s="176">
        <v>60.0</v>
      </c>
      <c r="I3" s="177"/>
      <c r="X3" s="171">
        <v>45821.0</v>
      </c>
      <c r="Y3" s="109">
        <v>45828.0</v>
      </c>
      <c r="Z3" s="73">
        <v>45835.0</v>
      </c>
      <c r="AA3" s="109">
        <v>45842.0</v>
      </c>
      <c r="AB3" s="73">
        <v>45849.0</v>
      </c>
      <c r="AC3" s="73">
        <v>45856.0</v>
      </c>
      <c r="AD3" s="124">
        <v>45863.0</v>
      </c>
    </row>
    <row r="4">
      <c r="B4" s="178"/>
      <c r="C4" s="101"/>
      <c r="D4" s="108">
        <v>3.0</v>
      </c>
      <c r="E4" s="108">
        <v>4.0</v>
      </c>
      <c r="F4" s="3">
        <v>3.0</v>
      </c>
      <c r="G4" s="3">
        <v>3.0</v>
      </c>
      <c r="H4" s="3">
        <v>3.0</v>
      </c>
      <c r="I4" s="179"/>
      <c r="X4" s="108">
        <v>67.1</v>
      </c>
      <c r="Y4" s="108">
        <v>65.8</v>
      </c>
      <c r="Z4" s="3">
        <v>66.5</v>
      </c>
      <c r="AA4" s="3">
        <v>66.4</v>
      </c>
      <c r="AB4" s="3">
        <v>66.5</v>
      </c>
      <c r="AC4" s="3">
        <v>66.9</v>
      </c>
      <c r="AD4" s="3">
        <v>66.9</v>
      </c>
    </row>
    <row r="5">
      <c r="B5" s="180" t="s">
        <v>163</v>
      </c>
      <c r="C5" s="101">
        <v>8.0</v>
      </c>
      <c r="D5" s="108">
        <v>70.0</v>
      </c>
      <c r="E5" s="108">
        <v>70.0</v>
      </c>
      <c r="F5" s="3">
        <v>70.0</v>
      </c>
      <c r="G5" s="3">
        <v>70.0</v>
      </c>
      <c r="H5" s="3">
        <v>70.0</v>
      </c>
      <c r="I5" s="181"/>
      <c r="J5" s="181"/>
      <c r="T5" s="181"/>
    </row>
    <row r="6">
      <c r="B6" s="178"/>
      <c r="C6" s="101"/>
      <c r="D6" s="108">
        <v>2.0</v>
      </c>
      <c r="E6" s="108">
        <v>2.0</v>
      </c>
      <c r="F6" s="3">
        <v>2.0</v>
      </c>
      <c r="G6" s="3">
        <v>2.0</v>
      </c>
      <c r="H6" s="3">
        <v>2.0</v>
      </c>
      <c r="I6" s="179"/>
      <c r="J6" s="179"/>
      <c r="T6" s="179"/>
    </row>
    <row r="7">
      <c r="B7" s="180" t="s">
        <v>163</v>
      </c>
      <c r="C7" s="101">
        <v>8.0</v>
      </c>
      <c r="D7" s="108">
        <v>79.0</v>
      </c>
      <c r="E7" s="108">
        <v>84.0</v>
      </c>
      <c r="F7" s="3">
        <v>80.0</v>
      </c>
      <c r="G7" s="3">
        <v>80.0</v>
      </c>
      <c r="H7" s="3">
        <v>80.0</v>
      </c>
      <c r="I7" s="179"/>
      <c r="J7" s="179"/>
      <c r="T7" s="179"/>
    </row>
    <row r="8">
      <c r="B8" s="178"/>
      <c r="C8" s="101"/>
      <c r="D8" s="108">
        <v>1.0</v>
      </c>
      <c r="E8" s="108">
        <v>1.0</v>
      </c>
      <c r="F8" s="3">
        <v>1.0</v>
      </c>
      <c r="G8" s="3">
        <v>1.0</v>
      </c>
      <c r="H8" s="3">
        <v>1.0</v>
      </c>
      <c r="I8" s="179"/>
      <c r="J8" s="179"/>
      <c r="T8" s="179"/>
    </row>
    <row r="9">
      <c r="B9" s="180" t="s">
        <v>163</v>
      </c>
      <c r="C9" s="101">
        <v>8.0</v>
      </c>
      <c r="D9" s="182">
        <v>80.0</v>
      </c>
      <c r="E9" s="182">
        <v>85.0</v>
      </c>
      <c r="F9" s="168">
        <v>92.0</v>
      </c>
      <c r="G9" s="183">
        <v>93.0</v>
      </c>
      <c r="H9" s="3">
        <v>90.0</v>
      </c>
      <c r="I9" s="181"/>
      <c r="J9" s="181"/>
      <c r="T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T17" s="15" t="s">
        <v>26</v>
      </c>
      <c r="U17" s="190">
        <v>54.0</v>
      </c>
      <c r="V17" s="3" t="s">
        <v>26</v>
      </c>
      <c r="W17" s="191">
        <f>IF(W18&lt;10, 2*W19 / (1/(1.0278 - 0.0278*W18) + W18^0.1), 2*W19 / ((1 + 0.0333*W18) + W18^0.1))</f>
        <v>48.22102825</v>
      </c>
    </row>
    <row r="18">
      <c r="B18" s="178"/>
      <c r="C18" s="172"/>
      <c r="D18" s="108">
        <v>8.0</v>
      </c>
      <c r="E18" s="108">
        <v>5.0</v>
      </c>
      <c r="F18" s="3">
        <v>5.0</v>
      </c>
      <c r="G18" s="168">
        <v>5.0</v>
      </c>
      <c r="H18" s="168">
        <v>5.0</v>
      </c>
      <c r="I18" s="179"/>
      <c r="Q18" s="3">
        <v>2.0</v>
      </c>
      <c r="R18" s="3">
        <v>2.0</v>
      </c>
      <c r="T18" s="15" t="s">
        <v>37</v>
      </c>
      <c r="U18" s="190">
        <v>12.0</v>
      </c>
      <c r="V18" s="3" t="s">
        <v>227</v>
      </c>
      <c r="W18" s="192">
        <v>4.0</v>
      </c>
    </row>
    <row r="19">
      <c r="B19" s="180" t="s">
        <v>166</v>
      </c>
      <c r="C19" s="101">
        <v>8.0</v>
      </c>
      <c r="D19" s="108">
        <v>70.0</v>
      </c>
      <c r="E19" s="108">
        <v>75.0</v>
      </c>
      <c r="F19" s="193">
        <v>78.0</v>
      </c>
      <c r="G19" s="3">
        <v>77.0</v>
      </c>
      <c r="H19" s="3">
        <v>77.0</v>
      </c>
      <c r="I19" s="179"/>
      <c r="T19" s="15" t="s">
        <v>36</v>
      </c>
      <c r="U19" s="43">
        <f>ROUND(IF(U18&lt;10,AVERAGE(U17/(1.0278-0.0278*U18),U17*U18^0.1),AVERAGE(U17*(1+0.0333*U18),U17*U18^0.1)),1)</f>
        <v>72.4</v>
      </c>
      <c r="V19" s="3" t="s">
        <v>228</v>
      </c>
      <c r="W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T22" s="15" t="s">
        <v>26</v>
      </c>
      <c r="U22" s="68">
        <v>48.0</v>
      </c>
    </row>
    <row r="23">
      <c r="B23" s="173" t="s">
        <v>205</v>
      </c>
      <c r="C23" s="174">
        <v>8.0</v>
      </c>
      <c r="D23" s="175">
        <v>40.0</v>
      </c>
      <c r="E23" s="175">
        <v>40.0</v>
      </c>
      <c r="F23" s="176">
        <v>40.0</v>
      </c>
      <c r="G23" s="176">
        <v>40.0</v>
      </c>
      <c r="H23" s="176">
        <v>40.0</v>
      </c>
      <c r="I23" s="177"/>
      <c r="N23" s="168">
        <v>50.0</v>
      </c>
      <c r="O23" s="3">
        <v>40.0</v>
      </c>
      <c r="Q23" s="3">
        <v>54.0</v>
      </c>
      <c r="R23" s="3">
        <v>55.0</v>
      </c>
      <c r="T23" s="15" t="s">
        <v>37</v>
      </c>
      <c r="U23" s="68">
        <v>4.0</v>
      </c>
    </row>
    <row r="24">
      <c r="B24" s="178"/>
      <c r="C24" s="172"/>
      <c r="D24" s="108">
        <v>3.0</v>
      </c>
      <c r="E24" s="108">
        <v>3.0</v>
      </c>
      <c r="F24" s="3">
        <v>3.0</v>
      </c>
      <c r="G24" s="3">
        <v>3.0</v>
      </c>
      <c r="H24" s="3">
        <v>3.0</v>
      </c>
      <c r="I24" s="179"/>
      <c r="N24" s="168">
        <v>3.0</v>
      </c>
      <c r="O24" s="3">
        <v>5.0</v>
      </c>
      <c r="Q24" s="3">
        <v>1.0</v>
      </c>
      <c r="R24" s="3">
        <v>1.0</v>
      </c>
      <c r="T24" s="15" t="s">
        <v>36</v>
      </c>
      <c r="U24" s="43">
        <f>ROUND(IF(U23&lt;10,AVERAGE(U22/(1.0278-0.0278*U23),U22*U23^0.1),AVERAGE(U22*(1+0.0333*U23),U22*U23^0.1)),1)</f>
        <v>53.8</v>
      </c>
      <c r="X24" s="73"/>
      <c r="Y24" s="176"/>
      <c r="AC24" s="168"/>
      <c r="AD24" s="168"/>
      <c r="AE24" s="168"/>
      <c r="AF24" s="168"/>
      <c r="AG24" s="75"/>
      <c r="AH24" s="198"/>
    </row>
    <row r="25">
      <c r="B25" s="180" t="s">
        <v>205</v>
      </c>
      <c r="C25" s="101">
        <v>8.0</v>
      </c>
      <c r="D25" s="108">
        <v>44.0</v>
      </c>
      <c r="E25" s="108">
        <v>44.0</v>
      </c>
      <c r="F25" s="3">
        <v>48.0</v>
      </c>
      <c r="G25" s="3">
        <v>48.0</v>
      </c>
      <c r="H25" s="3">
        <v>48.0</v>
      </c>
      <c r="I25" s="179"/>
      <c r="N25" s="168">
        <v>52.0</v>
      </c>
      <c r="O25" s="168">
        <v>50.0</v>
      </c>
      <c r="Q25" s="3">
        <v>54.0</v>
      </c>
      <c r="R25" s="3">
        <v>55.0</v>
      </c>
      <c r="X25" s="94"/>
      <c r="Y25" s="199"/>
      <c r="Z25" s="168"/>
      <c r="AA25" s="168"/>
      <c r="AB25" s="168"/>
      <c r="AC25" s="168"/>
      <c r="AD25" s="168"/>
      <c r="AE25" s="168"/>
      <c r="AF25" s="168"/>
      <c r="AG25" s="182"/>
      <c r="AH25" s="196"/>
    </row>
    <row r="26">
      <c r="B26" s="178"/>
      <c r="C26" s="172"/>
      <c r="D26" s="108">
        <v>3.0</v>
      </c>
      <c r="E26" s="108">
        <v>3.0</v>
      </c>
      <c r="F26" s="3">
        <v>3.0</v>
      </c>
      <c r="G26" s="3">
        <v>3.0</v>
      </c>
      <c r="H26" s="3">
        <v>3.0</v>
      </c>
      <c r="I26" s="179"/>
      <c r="N26" s="168">
        <v>3.0</v>
      </c>
      <c r="O26" s="168">
        <v>4.0</v>
      </c>
      <c r="Q26" s="3">
        <v>1.0</v>
      </c>
      <c r="R26" s="3">
        <v>1.0</v>
      </c>
      <c r="X26" s="73"/>
      <c r="Y26" s="199"/>
      <c r="Z26" s="168"/>
      <c r="AA26" s="168"/>
      <c r="AB26" s="168"/>
      <c r="AC26" s="168"/>
      <c r="AD26" s="168"/>
      <c r="AE26" s="168"/>
      <c r="AF26" s="168"/>
      <c r="AG26" s="75"/>
      <c r="AH26" s="198"/>
    </row>
    <row r="27">
      <c r="B27" s="180" t="s">
        <v>205</v>
      </c>
      <c r="C27" s="101">
        <v>8.0</v>
      </c>
      <c r="D27" s="108">
        <v>48.0</v>
      </c>
      <c r="E27" s="108">
        <v>48.0</v>
      </c>
      <c r="F27" s="3">
        <v>50.0</v>
      </c>
      <c r="G27" s="168">
        <v>50.5</v>
      </c>
      <c r="H27" s="168">
        <v>51.0</v>
      </c>
      <c r="I27" s="179"/>
      <c r="N27" s="168">
        <v>54.0</v>
      </c>
      <c r="O27" s="168">
        <v>53.0</v>
      </c>
      <c r="Q27" s="3">
        <v>54.0</v>
      </c>
      <c r="R27" s="3">
        <v>55.0</v>
      </c>
      <c r="X27" s="73"/>
      <c r="Y27" s="200"/>
      <c r="Z27" s="181"/>
      <c r="AA27" s="181"/>
      <c r="AB27" s="181"/>
      <c r="AC27" s="181"/>
      <c r="AD27" s="181"/>
      <c r="AE27" s="201"/>
      <c r="AF27" s="201"/>
      <c r="AG27" s="202"/>
      <c r="AH27" s="203"/>
    </row>
    <row r="28">
      <c r="B28" s="178"/>
      <c r="C28" s="172"/>
      <c r="D28" s="108">
        <v>3.0</v>
      </c>
      <c r="E28" s="108">
        <v>3.0</v>
      </c>
      <c r="F28" s="3">
        <v>2.0</v>
      </c>
      <c r="G28" s="168">
        <v>2.0</v>
      </c>
      <c r="H28" s="168">
        <v>2.0</v>
      </c>
      <c r="I28" s="179"/>
      <c r="N28" s="168">
        <v>2.0</v>
      </c>
      <c r="O28" s="168">
        <v>3.0</v>
      </c>
      <c r="Q28" s="3">
        <v>1.0</v>
      </c>
      <c r="X28" s="94"/>
      <c r="Y28" s="168"/>
      <c r="Z28" s="168"/>
      <c r="AA28" s="168"/>
      <c r="AB28" s="168"/>
      <c r="AC28" s="168"/>
      <c r="AD28" s="168"/>
      <c r="AG28" s="75"/>
      <c r="AH28" s="75"/>
    </row>
    <row r="29">
      <c r="B29" s="180" t="s">
        <v>205</v>
      </c>
      <c r="C29" s="101">
        <v>8.0</v>
      </c>
      <c r="D29" s="182">
        <v>49.0</v>
      </c>
      <c r="E29" s="108">
        <v>50.0</v>
      </c>
      <c r="F29" s="3">
        <v>52.0</v>
      </c>
      <c r="I29" s="179"/>
      <c r="N29" s="168">
        <v>56.0</v>
      </c>
      <c r="O29" s="168">
        <v>55.0</v>
      </c>
    </row>
    <row r="30">
      <c r="B30" s="178"/>
      <c r="C30" s="172"/>
      <c r="D30" s="182">
        <v>3.0</v>
      </c>
      <c r="E30" s="108">
        <v>2.0</v>
      </c>
      <c r="F30" s="3">
        <v>1.0</v>
      </c>
      <c r="I30" s="179"/>
      <c r="N30" s="168">
        <v>1.0</v>
      </c>
      <c r="O30" s="168">
        <v>2.0</v>
      </c>
      <c r="X30" s="73"/>
    </row>
    <row r="31">
      <c r="B31" s="180" t="s">
        <v>205</v>
      </c>
      <c r="C31" s="101">
        <v>8.0</v>
      </c>
      <c r="D31" s="75"/>
      <c r="E31" s="108">
        <v>51.0</v>
      </c>
      <c r="F31" s="3">
        <v>53.0</v>
      </c>
      <c r="I31" s="179"/>
      <c r="N31" s="168">
        <v>58.0</v>
      </c>
      <c r="X31" s="94"/>
    </row>
    <row r="32">
      <c r="B32" s="178"/>
      <c r="C32" s="172"/>
      <c r="D32" s="75"/>
      <c r="E32" s="108">
        <v>1.0</v>
      </c>
      <c r="F32" s="3">
        <v>1.0</v>
      </c>
      <c r="I32" s="179"/>
      <c r="N32" s="168">
        <v>1.0</v>
      </c>
      <c r="X32" s="73"/>
    </row>
    <row r="33">
      <c r="B33" s="180" t="s">
        <v>205</v>
      </c>
      <c r="C33" s="101">
        <v>8.0</v>
      </c>
      <c r="D33" s="75"/>
      <c r="E33" s="108">
        <v>52.0</v>
      </c>
      <c r="F33" s="193">
        <v>53.5</v>
      </c>
      <c r="I33" s="179"/>
      <c r="N33" s="168">
        <v>59.0</v>
      </c>
      <c r="X33" s="73"/>
    </row>
    <row r="34">
      <c r="B34" s="178"/>
      <c r="C34" s="172"/>
      <c r="D34" s="75"/>
      <c r="E34" s="108">
        <v>1.0</v>
      </c>
      <c r="F34" s="193">
        <v>1.0</v>
      </c>
      <c r="I34" s="179"/>
      <c r="N34" s="168">
        <v>1.0</v>
      </c>
      <c r="W34" s="204"/>
      <c r="X34" s="94"/>
    </row>
    <row r="35">
      <c r="B35" s="180" t="s">
        <v>205</v>
      </c>
      <c r="C35" s="101">
        <v>8.0</v>
      </c>
      <c r="D35" s="75"/>
      <c r="E35" s="182">
        <v>53.0</v>
      </c>
      <c r="I35" s="179"/>
      <c r="W35" s="204"/>
      <c r="X35" s="204"/>
      <c r="Y35" s="204"/>
      <c r="Z35" s="204"/>
      <c r="AA35" s="204"/>
    </row>
    <row r="36">
      <c r="B36" s="194"/>
      <c r="C36" s="195"/>
      <c r="D36" s="198"/>
      <c r="E36" s="196">
        <v>1.0</v>
      </c>
      <c r="F36" s="205"/>
      <c r="G36" s="205"/>
      <c r="H36" s="205"/>
      <c r="I36" s="189"/>
      <c r="W36" s="204"/>
      <c r="X36" s="204"/>
      <c r="Y36" s="204"/>
      <c r="Z36" s="204"/>
      <c r="AA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W37" s="204"/>
      <c r="X37" s="204"/>
      <c r="Y37" s="204"/>
      <c r="Z37" s="204"/>
      <c r="AA37" s="204"/>
    </row>
    <row r="38">
      <c r="B38" s="209"/>
      <c r="C38" s="172"/>
      <c r="D38" s="75"/>
      <c r="E38" s="75"/>
      <c r="F38" s="3">
        <v>1.0</v>
      </c>
      <c r="G38" s="168">
        <v>3.0</v>
      </c>
      <c r="H38" s="168">
        <v>4.0</v>
      </c>
      <c r="I38" s="181">
        <v>4.0</v>
      </c>
      <c r="J38" s="208">
        <v>7.0</v>
      </c>
      <c r="K38" s="3">
        <v>4.0</v>
      </c>
      <c r="L38" s="3">
        <v>4.0</v>
      </c>
      <c r="M38" s="3">
        <v>4.0</v>
      </c>
      <c r="N38" s="3">
        <v>1.0</v>
      </c>
      <c r="O38" s="168">
        <v>3.0</v>
      </c>
      <c r="P38" s="3">
        <v>4.0</v>
      </c>
      <c r="W38" s="204"/>
      <c r="X38" s="204"/>
      <c r="Y38" s="204"/>
      <c r="Z38" s="204"/>
      <c r="AA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W39" s="204"/>
      <c r="X39" s="204"/>
      <c r="Y39" s="204"/>
      <c r="Z39" s="204"/>
      <c r="AA39" s="204"/>
    </row>
    <row r="40">
      <c r="B40" s="209"/>
      <c r="C40" s="172"/>
      <c r="D40" s="75"/>
      <c r="E40" s="75"/>
      <c r="F40" s="3">
        <v>1.0</v>
      </c>
      <c r="G40" s="168">
        <v>2.0</v>
      </c>
      <c r="H40" s="168">
        <v>2.0</v>
      </c>
      <c r="I40" s="181">
        <v>3.0</v>
      </c>
      <c r="J40" s="168">
        <v>3.0</v>
      </c>
      <c r="K40" s="3">
        <v>2.0</v>
      </c>
      <c r="L40" s="3">
        <v>2.0</v>
      </c>
      <c r="M40" s="3">
        <v>2.0</v>
      </c>
      <c r="N40" s="168">
        <v>12.0</v>
      </c>
      <c r="O40" s="168">
        <v>9.0</v>
      </c>
      <c r="P40" s="3">
        <v>2.0</v>
      </c>
      <c r="W40" s="204"/>
      <c r="X40" s="204"/>
      <c r="Y40" s="204"/>
      <c r="Z40" s="204"/>
      <c r="AA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W41" s="204"/>
      <c r="X41" s="204"/>
      <c r="Y41" s="204"/>
      <c r="Z41" s="204"/>
      <c r="AA41" s="204"/>
    </row>
    <row r="42">
      <c r="B42" s="209"/>
      <c r="C42" s="172"/>
      <c r="D42" s="75"/>
      <c r="E42" s="75"/>
      <c r="F42" s="168">
        <v>1.0</v>
      </c>
      <c r="G42" s="168">
        <v>1.0</v>
      </c>
      <c r="H42" s="168">
        <v>1.0</v>
      </c>
      <c r="I42" s="181">
        <v>1.0</v>
      </c>
      <c r="J42" s="168">
        <v>2.0</v>
      </c>
      <c r="K42" s="3">
        <v>1.0</v>
      </c>
      <c r="L42" s="168">
        <v>4.0</v>
      </c>
      <c r="M42" s="3">
        <v>1.0</v>
      </c>
      <c r="N42" s="168">
        <v>17.0</v>
      </c>
      <c r="O42" s="168">
        <v>14.0</v>
      </c>
      <c r="P42" s="3">
        <v>1.0</v>
      </c>
      <c r="W42" s="204"/>
      <c r="X42" s="204"/>
      <c r="Y42" s="204"/>
      <c r="Z42" s="204"/>
      <c r="AA42" s="204"/>
    </row>
    <row r="43">
      <c r="B43" s="209" t="s">
        <v>49</v>
      </c>
      <c r="C43" s="101">
        <v>8.0</v>
      </c>
      <c r="D43" s="75"/>
      <c r="E43" s="75"/>
      <c r="F43" s="168"/>
      <c r="G43" s="168">
        <v>55.5</v>
      </c>
      <c r="H43" s="168">
        <v>57.5</v>
      </c>
      <c r="I43" s="201">
        <v>58.0</v>
      </c>
      <c r="K43" s="168">
        <v>60.0</v>
      </c>
      <c r="L43" s="168">
        <v>59.0</v>
      </c>
      <c r="M43" s="108">
        <v>57.5</v>
      </c>
      <c r="P43" s="3">
        <v>60.0</v>
      </c>
      <c r="W43" s="204"/>
      <c r="X43" s="204"/>
      <c r="Y43" s="204"/>
      <c r="Z43" s="204"/>
      <c r="AA43" s="204"/>
    </row>
    <row r="44">
      <c r="B44" s="209"/>
      <c r="C44" s="172"/>
      <c r="D44" s="75"/>
      <c r="E44" s="75"/>
      <c r="F44" s="168"/>
      <c r="G44" s="168">
        <v>1.0</v>
      </c>
      <c r="H44" s="168">
        <v>1.0</v>
      </c>
      <c r="I44" s="201">
        <v>1.0</v>
      </c>
      <c r="K44" s="168">
        <v>1.0</v>
      </c>
      <c r="L44" s="168">
        <v>2.0</v>
      </c>
      <c r="M44" s="108">
        <v>1.0</v>
      </c>
      <c r="P44" s="3">
        <v>1.0</v>
      </c>
      <c r="W44" s="204"/>
      <c r="X44" s="204"/>
      <c r="Y44" s="204"/>
      <c r="Z44" s="204"/>
      <c r="AA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c r="AG45" s="75"/>
      <c r="AH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c r="AG46" s="75"/>
      <c r="AH46" s="75"/>
    </row>
    <row r="47">
      <c r="B47" s="209" t="s">
        <v>49</v>
      </c>
      <c r="C47" s="101">
        <v>8.0</v>
      </c>
      <c r="D47" s="75"/>
      <c r="E47" s="75"/>
      <c r="I47" s="168"/>
      <c r="K47" s="208">
        <v>53.0</v>
      </c>
      <c r="M47" s="168">
        <v>47.0</v>
      </c>
      <c r="P47" s="183">
        <v>63.0</v>
      </c>
      <c r="AF47" s="172"/>
      <c r="AG47" s="172"/>
      <c r="AH47" s="172"/>
    </row>
    <row r="48">
      <c r="B48" s="210"/>
      <c r="C48" s="195"/>
      <c r="D48" s="75"/>
      <c r="E48" s="75"/>
      <c r="I48" s="168"/>
      <c r="K48" s="208">
        <v>6.0</v>
      </c>
      <c r="M48" s="168">
        <v>8.0</v>
      </c>
      <c r="P48" s="183">
        <v>1.0</v>
      </c>
      <c r="AF48" s="172"/>
      <c r="AG48" s="172"/>
      <c r="AH48" s="172"/>
    </row>
    <row r="49">
      <c r="B49" s="173" t="s">
        <v>203</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211"/>
      <c r="Y49" s="177"/>
      <c r="AF49" s="172"/>
      <c r="AG49" s="172"/>
      <c r="AH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205"/>
      <c r="Y50" s="189"/>
    </row>
    <row r="51">
      <c r="B51" s="173" t="s">
        <v>203</v>
      </c>
      <c r="C51" s="174">
        <v>8.0</v>
      </c>
      <c r="D51" s="75"/>
      <c r="E51" s="75"/>
      <c r="I51" s="168"/>
      <c r="P51" s="168">
        <v>40.0</v>
      </c>
    </row>
    <row r="52">
      <c r="B52" s="172"/>
      <c r="C52" s="172"/>
      <c r="D52" s="75"/>
      <c r="E52" s="75"/>
      <c r="I52" s="168"/>
      <c r="P52" s="168">
        <v>3.0</v>
      </c>
    </row>
    <row r="53">
      <c r="B53" s="173" t="s">
        <v>203</v>
      </c>
      <c r="C53" s="174">
        <v>8.0</v>
      </c>
      <c r="D53" s="75"/>
      <c r="E53" s="75"/>
      <c r="I53" s="168"/>
      <c r="P53" s="168">
        <v>44.0</v>
      </c>
    </row>
    <row r="54">
      <c r="B54" s="172"/>
      <c r="C54" s="172"/>
      <c r="D54" s="75"/>
      <c r="E54" s="75"/>
      <c r="I54" s="168"/>
      <c r="P54" s="168">
        <v>1.0</v>
      </c>
    </row>
    <row r="55">
      <c r="B55" s="173" t="s">
        <v>203</v>
      </c>
      <c r="C55" s="174">
        <v>8.0</v>
      </c>
      <c r="D55" s="75"/>
      <c r="E55" s="75"/>
      <c r="I55" s="168"/>
      <c r="P55" s="168">
        <v>48.0</v>
      </c>
    </row>
    <row r="56">
      <c r="B56" s="172"/>
      <c r="C56" s="172"/>
      <c r="D56" s="75"/>
      <c r="E56" s="75"/>
      <c r="I56" s="168"/>
      <c r="P56" s="168">
        <v>1.0</v>
      </c>
    </row>
    <row r="57">
      <c r="B57" s="173" t="s">
        <v>203</v>
      </c>
      <c r="C57" s="174">
        <v>8.0</v>
      </c>
      <c r="D57" s="75"/>
      <c r="E57" s="75"/>
      <c r="I57" s="168"/>
      <c r="P57" s="168">
        <v>50.0</v>
      </c>
    </row>
    <row r="58">
      <c r="B58" s="172"/>
      <c r="C58" s="172"/>
      <c r="D58" s="75"/>
      <c r="E58" s="75"/>
      <c r="I58" s="168"/>
      <c r="P58" s="168">
        <v>1.0</v>
      </c>
    </row>
    <row r="59">
      <c r="B59" s="173" t="s">
        <v>203</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c r="R61" s="3">
        <v>40.0</v>
      </c>
    </row>
    <row r="62">
      <c r="B62" s="172"/>
      <c r="C62" s="172"/>
      <c r="D62" s="75"/>
      <c r="E62" s="75"/>
      <c r="I62" s="168">
        <v>3.0</v>
      </c>
      <c r="J62" s="168">
        <v>5.0</v>
      </c>
      <c r="K62" s="3">
        <v>3.0</v>
      </c>
      <c r="L62" s="3">
        <v>3.0</v>
      </c>
      <c r="Q62" s="168">
        <v>8.0</v>
      </c>
      <c r="R62" s="3">
        <v>4.0</v>
      </c>
    </row>
    <row r="63">
      <c r="B63" s="101" t="s">
        <v>168</v>
      </c>
      <c r="C63" s="101">
        <v>8.0</v>
      </c>
      <c r="D63" s="75"/>
      <c r="E63" s="75"/>
      <c r="I63" s="168">
        <v>34.0</v>
      </c>
      <c r="J63" s="168">
        <v>38.0</v>
      </c>
      <c r="K63" s="3">
        <v>40.0</v>
      </c>
      <c r="L63" s="3">
        <v>40.0</v>
      </c>
      <c r="Q63" s="168">
        <v>45.0</v>
      </c>
      <c r="R63" s="168">
        <v>50.0</v>
      </c>
    </row>
    <row r="64">
      <c r="B64" s="172"/>
      <c r="C64" s="172"/>
      <c r="D64" s="75"/>
      <c r="E64" s="75"/>
      <c r="I64" s="168">
        <v>3.0</v>
      </c>
      <c r="J64" s="168">
        <v>4.0</v>
      </c>
      <c r="K64" s="3">
        <v>3.0</v>
      </c>
      <c r="L64" s="3">
        <v>3.0</v>
      </c>
      <c r="Q64" s="168">
        <v>5.0</v>
      </c>
      <c r="R64" s="168">
        <v>2.0</v>
      </c>
    </row>
    <row r="65">
      <c r="B65" s="101" t="s">
        <v>168</v>
      </c>
      <c r="C65" s="101">
        <v>8.0</v>
      </c>
      <c r="D65" s="75"/>
      <c r="E65" s="75"/>
      <c r="I65" s="168">
        <v>38.0</v>
      </c>
      <c r="J65" s="168">
        <v>40.0</v>
      </c>
      <c r="K65" s="168">
        <v>47.0</v>
      </c>
      <c r="L65" s="168">
        <v>49.0</v>
      </c>
      <c r="Q65" s="168">
        <v>49.0</v>
      </c>
      <c r="R65" s="183">
        <v>52.0</v>
      </c>
    </row>
    <row r="66">
      <c r="B66" s="172"/>
      <c r="C66" s="172"/>
      <c r="D66" s="75"/>
      <c r="E66" s="75"/>
      <c r="I66" s="168">
        <v>3.0</v>
      </c>
      <c r="J66" s="168">
        <v>5.0</v>
      </c>
      <c r="K66" s="168">
        <v>1.0</v>
      </c>
      <c r="L66" s="168">
        <v>1.0</v>
      </c>
      <c r="Q66" s="168">
        <v>2.0</v>
      </c>
      <c r="R66" s="183">
        <v>1.0</v>
      </c>
    </row>
    <row r="67">
      <c r="B67" s="101" t="s">
        <v>168</v>
      </c>
      <c r="C67" s="101">
        <v>8.0</v>
      </c>
      <c r="D67" s="75"/>
      <c r="E67" s="75"/>
      <c r="I67" s="168"/>
      <c r="J67" s="168">
        <v>42.0</v>
      </c>
      <c r="K67" s="168">
        <v>48.0</v>
      </c>
      <c r="L67" s="168">
        <v>40.0</v>
      </c>
      <c r="Q67" s="183">
        <v>51.0</v>
      </c>
      <c r="R67" s="183">
        <v>53.0</v>
      </c>
    </row>
    <row r="68">
      <c r="B68" s="172"/>
      <c r="C68" s="172"/>
      <c r="D68" s="75"/>
      <c r="E68" s="75"/>
      <c r="I68" s="168"/>
      <c r="J68" s="168">
        <v>4.0</v>
      </c>
      <c r="K68" s="168">
        <v>1.0</v>
      </c>
      <c r="L68" s="168">
        <v>6.0</v>
      </c>
      <c r="Q68" s="183">
        <v>1.0</v>
      </c>
      <c r="R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c r="R73" s="3">
        <v>72.0</v>
      </c>
    </row>
    <row r="74">
      <c r="B74" s="172"/>
      <c r="C74" s="172"/>
      <c r="D74" s="75"/>
      <c r="E74" s="75"/>
      <c r="I74" s="168"/>
      <c r="J74" s="168"/>
      <c r="Q74" s="3">
        <v>3.0</v>
      </c>
      <c r="R74" s="3">
        <v>3.0</v>
      </c>
      <c r="Z74" s="172"/>
      <c r="AA74" s="172"/>
      <c r="AB74" s="172"/>
      <c r="AC74" s="172"/>
      <c r="AD74" s="172"/>
      <c r="AE74" s="172"/>
    </row>
    <row r="75">
      <c r="B75" s="173" t="s">
        <v>163</v>
      </c>
      <c r="C75" s="174">
        <v>8.0</v>
      </c>
      <c r="D75" s="75"/>
      <c r="E75" s="75"/>
      <c r="I75" s="168"/>
      <c r="J75" s="168"/>
      <c r="Q75" s="3">
        <v>70.0</v>
      </c>
      <c r="R75" s="3">
        <v>72.0</v>
      </c>
      <c r="Z75" s="172"/>
      <c r="AA75" s="172"/>
      <c r="AB75" s="172"/>
      <c r="AC75" s="172"/>
      <c r="AD75" s="172"/>
      <c r="AE75" s="172"/>
    </row>
    <row r="76">
      <c r="B76" s="172"/>
      <c r="C76" s="172"/>
      <c r="D76" s="75"/>
      <c r="E76" s="75"/>
      <c r="I76" s="168"/>
      <c r="J76" s="168"/>
      <c r="Q76" s="3">
        <v>3.0</v>
      </c>
      <c r="R76" s="3">
        <v>3.0</v>
      </c>
    </row>
    <row r="77">
      <c r="B77" s="173" t="s">
        <v>163</v>
      </c>
      <c r="C77" s="174">
        <v>8.0</v>
      </c>
      <c r="D77" s="75"/>
      <c r="E77" s="75"/>
      <c r="I77" s="168"/>
      <c r="J77" s="168"/>
      <c r="Q77" s="168">
        <v>70.0</v>
      </c>
      <c r="R77" s="3">
        <v>72.0</v>
      </c>
    </row>
    <row r="78">
      <c r="B78" s="172"/>
      <c r="C78" s="172"/>
      <c r="D78" s="75"/>
      <c r="E78" s="75"/>
      <c r="I78" s="168"/>
      <c r="J78" s="168"/>
      <c r="Q78" s="168">
        <v>5.0</v>
      </c>
      <c r="R78" s="3">
        <v>3.0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c r="AA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6" width="4.25"/>
  </cols>
  <sheetData>
    <row r="1">
      <c r="B1" s="101" t="s">
        <v>242</v>
      </c>
      <c r="D1" s="108"/>
      <c r="E1" s="116"/>
      <c r="F1" s="116" t="s">
        <v>160</v>
      </c>
    </row>
    <row r="2">
      <c r="B2" s="101"/>
      <c r="C2" s="170"/>
      <c r="D2" s="124"/>
      <c r="E2" s="124"/>
      <c r="F2" s="124"/>
    </row>
    <row r="3">
      <c r="B3" s="101"/>
      <c r="C3" s="170"/>
      <c r="D3" s="124">
        <v>45924.0</v>
      </c>
      <c r="E3" s="124">
        <v>45931.0</v>
      </c>
      <c r="F3" s="124"/>
    </row>
    <row r="4">
      <c r="B4" s="101"/>
      <c r="C4" s="101"/>
      <c r="D4" s="3">
        <v>66.3</v>
      </c>
      <c r="E4" s="3">
        <v>66.5</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row>
    <row r="12">
      <c r="B12" s="178"/>
      <c r="C12" s="101"/>
      <c r="D12" s="182">
        <v>10.0</v>
      </c>
    </row>
    <row r="13">
      <c r="B13" s="180" t="s">
        <v>237</v>
      </c>
      <c r="C13" s="101">
        <v>8.0</v>
      </c>
      <c r="D13" s="108">
        <v>60.0</v>
      </c>
      <c r="E13" s="3">
        <v>60.0</v>
      </c>
    </row>
    <row r="14">
      <c r="B14" s="184"/>
      <c r="C14" s="185"/>
      <c r="D14" s="186">
        <v>1.0</v>
      </c>
      <c r="E14" s="3">
        <v>1.0</v>
      </c>
    </row>
    <row r="15">
      <c r="B15" s="180" t="s">
        <v>237</v>
      </c>
      <c r="C15" s="101">
        <v>8.0</v>
      </c>
      <c r="D15" s="175">
        <v>62.0</v>
      </c>
      <c r="E15" s="3">
        <v>64.0</v>
      </c>
    </row>
    <row r="16">
      <c r="B16" s="184"/>
      <c r="C16" s="185"/>
      <c r="D16" s="108">
        <v>1.0</v>
      </c>
      <c r="E16" s="3">
        <v>1.0</v>
      </c>
    </row>
    <row r="17">
      <c r="B17" s="180" t="s">
        <v>237</v>
      </c>
      <c r="C17" s="101">
        <v>8.0</v>
      </c>
      <c r="D17" s="108">
        <v>64.0</v>
      </c>
      <c r="E17" s="3">
        <v>67.0</v>
      </c>
    </row>
    <row r="18">
      <c r="B18" s="184"/>
      <c r="C18" s="185"/>
      <c r="D18" s="108">
        <v>1.0</v>
      </c>
      <c r="E18" s="3">
        <v>1.0</v>
      </c>
    </row>
    <row r="19">
      <c r="B19" s="180" t="s">
        <v>237</v>
      </c>
      <c r="C19" s="101">
        <v>8.0</v>
      </c>
      <c r="D19" s="108">
        <v>66.0</v>
      </c>
    </row>
    <row r="20">
      <c r="B20" s="184"/>
      <c r="C20" s="185"/>
      <c r="D20" s="108">
        <v>1.0</v>
      </c>
    </row>
    <row r="21">
      <c r="B21" s="180" t="s">
        <v>190</v>
      </c>
      <c r="C21" s="101"/>
      <c r="D21" s="108"/>
      <c r="E21" s="108">
        <v>0.0</v>
      </c>
    </row>
    <row r="22">
      <c r="B22" s="180"/>
      <c r="C22" s="101"/>
      <c r="D22" s="108"/>
      <c r="E22" s="108">
        <v>25.0</v>
      </c>
    </row>
    <row r="23">
      <c r="B23" s="180" t="s">
        <v>197</v>
      </c>
      <c r="C23" s="101"/>
      <c r="D23" s="108" t="s">
        <v>145</v>
      </c>
      <c r="E23" s="108" t="s">
        <v>145</v>
      </c>
    </row>
    <row r="24">
      <c r="B24" s="178"/>
      <c r="C24" s="172"/>
      <c r="D24" s="108">
        <v>10.0</v>
      </c>
      <c r="E24" s="108">
        <v>10.0</v>
      </c>
    </row>
    <row r="25">
      <c r="B25" s="180" t="s">
        <v>197</v>
      </c>
      <c r="C25" s="101"/>
      <c r="D25" s="108" t="s">
        <v>145</v>
      </c>
      <c r="E25" s="108" t="s">
        <v>145</v>
      </c>
    </row>
    <row r="26">
      <c r="B26" s="178"/>
      <c r="C26" s="172"/>
      <c r="D26" s="108">
        <v>10.0</v>
      </c>
      <c r="E26" s="108">
        <v>10.0</v>
      </c>
    </row>
    <row r="27">
      <c r="B27" s="180" t="s">
        <v>197</v>
      </c>
      <c r="C27" s="101"/>
      <c r="D27" s="108" t="s">
        <v>145</v>
      </c>
      <c r="E27" s="108" t="s">
        <v>145</v>
      </c>
    </row>
    <row r="28">
      <c r="B28" s="178"/>
      <c r="C28" s="172"/>
      <c r="D28" s="108">
        <v>10.0</v>
      </c>
      <c r="E28" s="108">
        <v>10.0</v>
      </c>
    </row>
    <row r="29">
      <c r="B29" s="180" t="s">
        <v>170</v>
      </c>
      <c r="C29" s="172"/>
      <c r="D29" s="3">
        <v>7.0</v>
      </c>
      <c r="E29" s="3">
        <v>7.0</v>
      </c>
    </row>
    <row r="30">
      <c r="B30" s="178"/>
      <c r="C30" s="172"/>
      <c r="D30" s="3">
        <v>12.0</v>
      </c>
      <c r="E30" s="3">
        <v>13.0</v>
      </c>
    </row>
    <row r="31">
      <c r="B31" s="180" t="s">
        <v>170</v>
      </c>
      <c r="C31" s="172"/>
      <c r="D31" s="3">
        <v>7.0</v>
      </c>
      <c r="E31" s="3">
        <v>7.0</v>
      </c>
    </row>
    <row r="32">
      <c r="B32" s="178"/>
      <c r="C32" s="172"/>
      <c r="D32" s="3">
        <v>12.0</v>
      </c>
      <c r="E32" s="3">
        <v>13.0</v>
      </c>
    </row>
    <row r="33">
      <c r="B33" s="180" t="s">
        <v>170</v>
      </c>
      <c r="C33" s="172"/>
      <c r="D33" s="3">
        <v>7.0</v>
      </c>
      <c r="E33" s="3">
        <v>7.0</v>
      </c>
    </row>
    <row r="34">
      <c r="B34" s="178"/>
      <c r="C34" s="172"/>
      <c r="D34" s="3">
        <v>12.0</v>
      </c>
      <c r="E34" s="3">
        <v>13.0</v>
      </c>
    </row>
    <row r="35">
      <c r="B35" s="180" t="s">
        <v>157</v>
      </c>
      <c r="C35" s="172"/>
      <c r="D35" s="3">
        <v>12.0</v>
      </c>
      <c r="E35" s="3">
        <v>12.0</v>
      </c>
    </row>
    <row r="36">
      <c r="B36" s="178"/>
      <c r="C36" s="172"/>
      <c r="D36" s="3">
        <v>10.0</v>
      </c>
      <c r="E36" s="3">
        <v>12.0</v>
      </c>
    </row>
    <row r="37">
      <c r="B37" s="180" t="s">
        <v>157</v>
      </c>
      <c r="C37" s="172"/>
      <c r="D37" s="3">
        <v>12.0</v>
      </c>
      <c r="E37" s="3">
        <v>12.0</v>
      </c>
    </row>
    <row r="38">
      <c r="B38" s="178"/>
      <c r="C38" s="172"/>
      <c r="D38" s="3">
        <v>10.0</v>
      </c>
      <c r="E38" s="3">
        <v>12.0</v>
      </c>
    </row>
    <row r="39">
      <c r="B39" s="180" t="s">
        <v>157</v>
      </c>
      <c r="C39" s="172"/>
      <c r="D39" s="3">
        <v>12.0</v>
      </c>
      <c r="E39" s="3">
        <v>12.0</v>
      </c>
    </row>
    <row r="40">
      <c r="B40" s="178"/>
      <c r="C40" s="172"/>
      <c r="D40" s="3">
        <v>10.0</v>
      </c>
      <c r="E40" s="3">
        <v>12.0</v>
      </c>
    </row>
    <row r="41">
      <c r="B41" s="180" t="s">
        <v>157</v>
      </c>
      <c r="C41" s="172"/>
      <c r="D41" s="3">
        <v>12.0</v>
      </c>
    </row>
    <row r="42">
      <c r="B42" s="178"/>
      <c r="C42" s="172"/>
      <c r="D42" s="3">
        <v>10.0</v>
      </c>
    </row>
    <row r="43">
      <c r="B43" s="180" t="s">
        <v>157</v>
      </c>
      <c r="C43" s="172"/>
      <c r="D43" s="3">
        <v>12.0</v>
      </c>
    </row>
    <row r="44">
      <c r="B44" s="178"/>
      <c r="C44" s="172"/>
      <c r="D44" s="3">
        <v>10.0</v>
      </c>
    </row>
    <row r="45">
      <c r="B45"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282</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45933</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45933.0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45933.0</v>
      </c>
      <c r="Y6" s="244">
        <f>TODAY( )</f>
        <v>45933</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45933.0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45933.0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45933.0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45933.0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45933.0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45933.0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45933.0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