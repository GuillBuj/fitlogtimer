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Comp Insanity" sheetId="16" r:id="rId19"/>
    <sheet state="visible" name=".Mini DL" sheetId="17" r:id="rId20"/>
    <sheet state="visible" name=".Inno" sheetId="18" r:id="rId21"/>
    <sheet state="visible" name=".DDB" sheetId="19" r:id="rId22"/>
    <sheet state="visible" name="F Tiger Shark Program" sheetId="20" r:id="rId23"/>
    <sheet state="visible" name="Tiger Shark Program" sheetId="21" r:id="rId24"/>
    <sheet state="visible" name="SBs" sheetId="22" r:id="rId25"/>
    <sheet state="visible" name="Est 1RM" sheetId="23" r:id="rId26"/>
    <sheet state="visible" name="Est 1RM2" sheetId="24" r:id="rId27"/>
    <sheet state="visible" name="Calculateur Cible" sheetId="25" r:id="rId28"/>
    <sheet state="visible" name="Inv 1RM" sheetId="26" r:id="rId29"/>
    <sheet state="visible" name="Dev classique ligne" sheetId="27" r:id="rId30"/>
    <sheet state="visible" name="Dev Classique" sheetId="28" r:id="rId31"/>
    <sheet state="visible" name="Old Séance lourde" sheetId="29" r:id="rId32"/>
    <sheet state="visible" name="Old DC séance légère" sheetId="30" r:id="rId33"/>
    <sheet state="visible" name="Courbes 1RM" sheetId="31" r:id="rId34"/>
    <sheet state="visible" name="prov" sheetId="32" r:id="rId35"/>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<sst xmlns="http://schemas.openxmlformats.org/spreadsheetml/2006/main" count="1407" uniqueCount="348">
  <si>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</si>
  <si>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</si>
  <si>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</si>
  <si>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</si>
  <si>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</si>
  <si>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</si>
  <si>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</si>
  <si>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</si>
  <si>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</si>
  <si>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</si>
  <si>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</si>
  <si>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</si>
  <si>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</si>
  <si>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</si>
  <si>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</si>
  <si>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</si>
  <si>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</si>
  <si>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</si>
  <si>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</si>
  <si>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</si>
  <si>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</si>
  <si>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</si>
  <si>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</si>
  <si>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</si>
  <si>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</si>
  <si>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</si>
  <si>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</si>
  <si>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</si>
  <si>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</si>
  <si>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</si>
  <si>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</si>
  <si>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</si>
  <si>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</si>
  <si>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</si>
  <si>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</si>
  <si>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</si>
  <si>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</si>
  <si>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</si>
  <si>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</si>
  <si>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</si>
  <si>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</si>
  <si>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</si>
  <si>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</si>
  <si>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</si>
  <si>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</si>
  <si>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</si>
  <si>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</si>
  <si>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</si>
  <si>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</si>
  <si>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</si>
  <si>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</si>
  <si>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</si>
  <si>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</si>
  <si>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</si>
  <si>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</si>
  <si>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</si>
  <si>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</si>
  <si>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</si>
  <si>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</si>
  <si>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</si>
  <si>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</si>
  <si>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</si>
  <si>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</si>
  <si>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</si>
  <si>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</si>
  <si>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</si>
  <si>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</si>
  <si>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</si>
  <si>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</si>
  <si>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</si>
  <si>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</si>
  <si>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</si>
  <si>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</si>
  <si>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</si>
  <si>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</si>
  <si>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</si>
  <si>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</si>
  <si>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</si>
  <si>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</si>
  <si>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</si>
  <si>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</si>
  <si>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</si>
  <si>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</si>
  <si>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</si>
  <si>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</si>
  <si>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</si>
  <si>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</si>
  <si>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</si>
  <si>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</si>
  <si>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</si>
  <si>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</si>
  <si>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</si>
  <si>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</si>
  <si>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</si>
  <si>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</si>
  <si>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</si>
  <si>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</si>
  <si>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</si>
  <si>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</si>
  <si>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</si>
  <si>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</si>
  <si>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</si>
  <si>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</si>
  <si>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</si>
  <si>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</si>
  <si>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</si>
  <si>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</si>
  <si>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</si>
  <si>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</si>
  <si>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</si>
  <si>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</si>
  <si>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</si>
  <si>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</si>
  <si>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</si>
  <si>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</si>
  <si>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</si>
  <si>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</si>
  <si>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</si>
  <si>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</si>
  <si>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</si>
  <si>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</si>
  <si>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</si>
  <si>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</si>
  <si>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</si>
  <si>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</si>
  <si>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</si>
  <si>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</si>
  <si>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</si>
  <si>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</si>
  <si>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</si>
  <si>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</si>
  <si>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</si>
  <si>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</si>
  <si>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</si>
  <si>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</si>
  <si>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</si>
  <si>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</si>
  <si>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</si>
  <si>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</si>
  <si>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</si>
  <si>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</si>
  <si>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</si>
  <si>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</si>
  <si>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</si>
  <si>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</si>
  <si>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</si>
  <si>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</si>
  <si>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</si>
  <si>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</si>
  <si>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</si>
  <si>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</si>
  <si>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</si>
  <si>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</si>
  <si>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</si>
  <si>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</si>
  <si>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</si>
  <si>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</si>
  <si>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</si>
  <si>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</si>
  <si>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</si>
  <si>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</si>
  <si>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</si>
  <si>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</si>
  <si>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</si>
  <si>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</si>
  <si>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</si>
  <si>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</si>
  <si>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</si>
  <si>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</si>
  <si>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</si>
  <si>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</si>
  <si>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</si>
  <si>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</si>
  <si>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</si>
  <si>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</si>
  <si>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</si>
  <si>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</si>
  <si>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</si>
  <si>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</si>
  <si>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</si>
  <si>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</si>
  <si>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</si>
  <si>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</si>
  <si>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</si>
  <si>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</si>
  <si>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</si>
  <si>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</si>
  <si>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</si>
  <si>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</si>
  <si>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</si>
  <si>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</si>
  <si>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</si>
  <si>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</si>
  <si>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</si>
  <si>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</si>
  <si>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</si>
  <si>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</si>
  <si>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</si>
  <si>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</si>
  <si>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</si>
  <si>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</si>
  <si>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</si>
  <si>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</si>
  <si>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</si>
  <si>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</si>
  <si>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</si>
  <si>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</si>
  <si>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</si>
  <si>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</si>
  <si>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</si>
  <si>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</si>
  <si>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</si>
  <si>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</si>
  <si>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</si>
  <si>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</si>
  <si>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</si>
  <si>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</si>
  <si>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</si>
  <si>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</si>
  <si>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</si>
  <si>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</si>
  <si>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</si>
  <si>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</si>
  <si>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</si>
  <si>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</si>
  <si>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</si>
  <si>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</si>
  <si>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</si>
  <si>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</si>
  <si>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DCM</t>
  </si>
  <si>
    <t>de justesse</t>
  </si>
  <si>
    <t>71echec</t>
  </si>
  <si>
    <t>70echec</t>
  </si>
  <si>
    <t>69,5echec</t>
  </si>
  <si>
    <t>Hold</t>
  </si>
  <si>
    <t>Scap push-up</t>
  </si>
  <si>
    <t>PMS</t>
  </si>
  <si>
    <t>Static Hold</t>
  </si>
  <si>
    <t>STH</t>
  </si>
  <si>
    <t>..70</t>
  </si>
  <si>
    <t>DOHL</t>
  </si>
  <si>
    <t>M5</t>
  </si>
  <si>
    <t>Comp Insanity</t>
  </si>
  <si>
    <t>DOH</t>
  </si>
  <si>
    <t>TTB</t>
  </si>
  <si>
    <t>Mini DL</t>
  </si>
  <si>
    <t>Inno</t>
  </si>
  <si>
    <t>DC milieu</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</si>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</sst>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940313006"/>
        <c:axId val="1049731966"/>
      </c:scatterChart>
      <c:valAx>
        <c:axId val="940313006"/>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49731966"/>
      </c:valAx>
      <c:valAx>
        <c:axId val="1049731966"/>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94031300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706683113"/>
        <c:axId val="644944569"/>
      </c:scatterChart>
      <c:valAx>
        <c:axId val="70668311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4944569"/>
      </c:valAx>
      <c:valAx>
        <c:axId val="644944569"/>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66831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278363975"/>
        <c:axId val="402214703"/>
      </c:scatterChart>
      <c:valAx>
        <c:axId val="2783639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402214703"/>
      </c:valAx>
      <c:valAx>
        <c:axId val="402214703"/>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78363975"/>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582181995"/>
        <c:axId val="1777589287"/>
      </c:scatterChart>
      <c:valAx>
        <c:axId val="15821819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777589287"/>
      </c:valAx>
      <c:valAx>
        <c:axId val="1777589287"/>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582181995"/>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293045608"/>
        <c:axId val="281057536"/>
      </c:lineChart>
      <c:catAx>
        <c:axId val="12930456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1057536"/>
      </c:catAx>
      <c:valAx>
        <c:axId val="281057536"/>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3045608"/>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979715594"/>
        <c:axId val="1589509734"/>
      </c:lineChart>
      <c:catAx>
        <c:axId val="9797155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9509734"/>
      </c:catAx>
      <c:valAx>
        <c:axId val="1589509734"/>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9715594"/>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208728849"/>
        <c:axId val="80984326"/>
      </c:lineChart>
      <c:catAx>
        <c:axId val="1208728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80984326"/>
      </c:catAx>
      <c:valAx>
        <c:axId val="8098432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0872884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610791817"/>
        <c:axId val="907088537"/>
      </c:lineChart>
      <c:catAx>
        <c:axId val="16107918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907088537"/>
      </c:catAx>
      <c:valAx>
        <c:axId val="907088537"/>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10791817"/>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2063532812"/>
        <c:axId val="1467099313"/>
      </c:lineChart>
      <c:catAx>
        <c:axId val="20635328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467099313"/>
      </c:catAx>
      <c:valAx>
        <c:axId val="1467099313"/>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06353281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716910583"/>
        <c:axId val="1997063085"/>
      </c:scatterChart>
      <c:valAx>
        <c:axId val="716910583"/>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97063085"/>
      </c:valAx>
      <c:valAx>
        <c:axId val="1997063085"/>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1691058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746604039"/>
        <c:axId val="603642984"/>
      </c:lineChart>
      <c:catAx>
        <c:axId val="7466040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603642984"/>
      </c:catAx>
      <c:valAx>
        <c:axId val="603642984"/>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4660403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40" width="5.25"/>
    <col customWidth="1" min="41" max="41"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4">
        <v>45943.0</v>
      </c>
      <c r="AP1" s="95" t="s">
        <v>160</v>
      </c>
      <c r="AQ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5">
        <v>68.6</v>
      </c>
      <c r="AP2" s="93"/>
      <c r="AQ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v>50.0</v>
      </c>
      <c r="AP3" s="96"/>
      <c r="AQ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c r="AO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c r="AO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c r="AO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6"/>
      <c r="AQ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99"/>
      <c r="AQ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6"/>
      <c r="AQ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c r="AQ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6"/>
      <c r="AQ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c r="AQ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c r="AQ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c r="AQ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6">
        <v>10.0</v>
      </c>
      <c r="AP15" s="97"/>
      <c r="AQ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5">
        <v>10.0</v>
      </c>
      <c r="AP16" s="93"/>
      <c r="AQ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5">
        <v>10.0</v>
      </c>
      <c r="AP17" s="93"/>
      <c r="AQ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5">
        <v>10.0</v>
      </c>
      <c r="AP18" s="93"/>
      <c r="AQ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6">
        <v>48.0</v>
      </c>
      <c r="AP19" s="97"/>
      <c r="AQ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116">
        <v>5.0</v>
      </c>
      <c r="AP20" s="99"/>
      <c r="AQ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6">
        <v>52.0</v>
      </c>
      <c r="AP21" s="97"/>
      <c r="AQ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116">
        <v>5.0</v>
      </c>
      <c r="AP22" s="99"/>
      <c r="AQ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6">
        <v>56.0</v>
      </c>
      <c r="AP23" s="97"/>
      <c r="AQ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116">
        <v>5.0</v>
      </c>
      <c r="AP24" s="99"/>
      <c r="AQ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t="s">
        <v>143</v>
      </c>
      <c r="AP25" s="96"/>
      <c r="AQ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8">
        <v>15.0</v>
      </c>
      <c r="AP26" s="99"/>
      <c r="AQ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8">
        <v>15.0</v>
      </c>
      <c r="AP27" s="99"/>
      <c r="AQ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8">
        <v>15.0</v>
      </c>
      <c r="AP28" s="99"/>
      <c r="AQ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30.0</v>
      </c>
      <c r="AP29" s="96"/>
      <c r="AQ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5">
        <v>10.0</v>
      </c>
      <c r="AP30" s="93"/>
      <c r="AQ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5">
        <v>10.0</v>
      </c>
      <c r="AP31" s="93"/>
      <c r="AQ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5">
        <v>10.0</v>
      </c>
      <c r="AP32" s="93"/>
      <c r="AQ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v>34.0</v>
      </c>
      <c r="AP33" s="96"/>
      <c r="AQ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8">
        <v>6.0</v>
      </c>
      <c r="AP34" s="99"/>
      <c r="AQ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8">
        <v>6.0</v>
      </c>
      <c r="AP35" s="99"/>
      <c r="AQ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8">
        <v>6.0</v>
      </c>
      <c r="AP36" s="99"/>
      <c r="AQ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6">
        <v>40.0</v>
      </c>
      <c r="AP37" s="97"/>
      <c r="AQ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8">
        <v>2.0</v>
      </c>
      <c r="AP38" s="99"/>
      <c r="AQ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c r="AQ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c r="AQ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v>7.0</v>
      </c>
      <c r="AP41" s="96"/>
      <c r="AQ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5">
        <v>20.0</v>
      </c>
      <c r="AP42" s="93"/>
      <c r="AQ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c r="AQ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c r="AQ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v>5.0</v>
      </c>
      <c r="AP45" s="96"/>
      <c r="AQ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5">
        <v>30.0</v>
      </c>
      <c r="AP46" s="93"/>
      <c r="AQ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c r="AQ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c r="AQ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v>12.0</v>
      </c>
      <c r="AP49" s="96"/>
      <c r="AQ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5">
        <v>20.0</v>
      </c>
      <c r="AP50" s="93"/>
      <c r="AQ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c r="AQ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c r="AQ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c r="AQ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O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3">
        <f t="shared" si="1"/>
        <v>89.7</v>
      </c>
      <c r="AO59" s="103">
        <f t="shared" si="1"/>
        <v>81.5</v>
      </c>
      <c r="AP59" s="104"/>
      <c r="AQ59" s="104"/>
    </row>
    <row r="60">
      <c r="A60" s="102" t="s">
        <v>154</v>
      </c>
      <c r="B60" s="102"/>
      <c r="C60" s="102">
        <v>4.6</v>
      </c>
      <c r="D60" s="103" t="str">
        <f t="shared" ref="D60:AO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3" t="str">
        <f t="shared" si="2"/>
        <v/>
      </c>
      <c r="AO60" s="103">
        <f t="shared" si="2"/>
        <v>18.9</v>
      </c>
      <c r="AP60" s="104"/>
      <c r="AQ60" s="104"/>
    </row>
    <row r="61">
      <c r="A61" s="102" t="s">
        <v>141</v>
      </c>
      <c r="B61" s="102"/>
      <c r="C61" s="102"/>
      <c r="D61" s="103" t="str">
        <f t="shared" ref="D61:AO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3" t="str">
        <f t="shared" si="3"/>
        <v>+</v>
      </c>
      <c r="AO61" s="103" t="str">
        <f t="shared" si="3"/>
        <v>+</v>
      </c>
      <c r="AP61" s="104"/>
      <c r="AQ61" s="104"/>
    </row>
    <row r="62">
      <c r="A62" s="102" t="s">
        <v>49</v>
      </c>
      <c r="B62" s="102"/>
      <c r="C62" s="102">
        <v>8.0</v>
      </c>
      <c r="D62" s="105">
        <f t="shared" ref="D62:AO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5" t="str">
        <f t="shared" si="4"/>
        <v/>
      </c>
      <c r="AO62" s="105">
        <f t="shared" si="4"/>
        <v>49.2</v>
      </c>
      <c r="AP62" s="104"/>
      <c r="AQ62" s="104"/>
    </row>
    <row r="63">
      <c r="A63" s="102" t="s">
        <v>155</v>
      </c>
      <c r="B63" s="107"/>
      <c r="C63" s="107"/>
      <c r="D63" s="103">
        <f t="shared" ref="D63:AO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3">
        <f t="shared" si="5"/>
        <v>7.03</v>
      </c>
      <c r="AO63" s="103">
        <f t="shared" si="5"/>
        <v>10.55</v>
      </c>
      <c r="AP63" s="104"/>
      <c r="AQ63" s="104"/>
    </row>
    <row r="64">
      <c r="A64" s="102" t="s">
        <v>156</v>
      </c>
      <c r="B64" s="107"/>
      <c r="C64" s="107"/>
      <c r="D64" s="103">
        <f t="shared" ref="D64:AO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3">
        <f t="shared" si="6"/>
        <v>7.03</v>
      </c>
      <c r="AO64" s="103">
        <f t="shared" si="6"/>
        <v>8.51</v>
      </c>
      <c r="AP64" s="104"/>
      <c r="AQ64" s="104"/>
    </row>
    <row r="65">
      <c r="A65" s="102" t="s">
        <v>157</v>
      </c>
      <c r="B65" s="107"/>
      <c r="C65" s="107"/>
      <c r="D65" s="103">
        <f t="shared" ref="D65:AO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3" t="str">
        <f t="shared" si="7"/>
        <v/>
      </c>
      <c r="AO65" s="103">
        <f t="shared" si="7"/>
        <v>18.09</v>
      </c>
      <c r="AP65" s="104"/>
      <c r="AQ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 customWidth="1" min="14" max="14" width="4.38"/>
    <col customWidth="1" min="15" max="15" width="4.25"/>
    <col customWidth="1" min="16" max="17" width="4.38"/>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24">
        <v>45936.0</v>
      </c>
      <c r="P1" s="124">
        <v>45956.0</v>
      </c>
      <c r="Q1" s="124">
        <v>45958.0</v>
      </c>
      <c r="R1" s="116" t="s">
        <v>160</v>
      </c>
    </row>
    <row r="2">
      <c r="C2" s="3"/>
      <c r="D2" s="3">
        <v>66.9</v>
      </c>
      <c r="E2" s="3">
        <v>67.8</v>
      </c>
      <c r="F2" s="3">
        <v>66.4</v>
      </c>
      <c r="G2" s="3">
        <v>67.0</v>
      </c>
      <c r="H2" s="3">
        <v>66.1</v>
      </c>
      <c r="I2" s="3">
        <v>66.3</v>
      </c>
      <c r="J2" s="3">
        <v>66.5</v>
      </c>
      <c r="K2" s="3">
        <v>66.1</v>
      </c>
      <c r="L2" s="3">
        <v>66.4</v>
      </c>
      <c r="M2" s="3">
        <v>66.9</v>
      </c>
      <c r="N2" s="3">
        <v>66.3</v>
      </c>
      <c r="O2" s="3">
        <v>66.5</v>
      </c>
      <c r="P2" s="3">
        <v>68.7</v>
      </c>
      <c r="Q2" s="3">
        <v>68.6</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216</v>
      </c>
      <c r="D27" s="3">
        <v>5.0</v>
      </c>
      <c r="G27" s="91">
        <v>5.0</v>
      </c>
      <c r="L27" s="3">
        <v>5.0</v>
      </c>
    </row>
    <row r="28">
      <c r="D28" s="3">
        <v>10.0</v>
      </c>
      <c r="G28" s="91">
        <v>11.0</v>
      </c>
      <c r="L28" s="3">
        <v>12.0</v>
      </c>
    </row>
    <row r="29">
      <c r="B29" s="3" t="s">
        <v>216</v>
      </c>
      <c r="D29" s="3">
        <v>5.0</v>
      </c>
      <c r="G29" s="91">
        <v>5.0</v>
      </c>
      <c r="L29" s="3">
        <v>5.0</v>
      </c>
    </row>
    <row r="30">
      <c r="D30" s="3">
        <v>10.0</v>
      </c>
      <c r="G30" s="91">
        <v>11.0</v>
      </c>
      <c r="L30" s="3">
        <v>12.0</v>
      </c>
    </row>
    <row r="31">
      <c r="B31" s="3" t="s">
        <v>216</v>
      </c>
      <c r="D31" s="3">
        <v>5.0</v>
      </c>
      <c r="G31" s="91">
        <v>5.0</v>
      </c>
      <c r="L31" s="3">
        <v>5.0</v>
      </c>
    </row>
    <row r="32">
      <c r="D32" s="3">
        <v>10.0</v>
      </c>
      <c r="G32" s="91">
        <v>11.0</v>
      </c>
      <c r="L32" s="3">
        <v>12.0</v>
      </c>
    </row>
    <row r="33">
      <c r="B33" s="3" t="s">
        <v>217</v>
      </c>
      <c r="D33" s="3">
        <v>7.5</v>
      </c>
    </row>
    <row r="34">
      <c r="D34" s="3">
        <v>10.0</v>
      </c>
      <c r="T34" s="15" t="s">
        <v>26</v>
      </c>
      <c r="U34" s="68">
        <v>85.0</v>
      </c>
    </row>
    <row r="35">
      <c r="B35" s="3" t="s">
        <v>217</v>
      </c>
      <c r="D35" s="3">
        <v>7.5</v>
      </c>
      <c r="T35" s="15" t="s">
        <v>37</v>
      </c>
      <c r="U35" s="68">
        <v>3.0</v>
      </c>
    </row>
    <row r="36">
      <c r="D36" s="3">
        <v>10.0</v>
      </c>
      <c r="T36" s="15" t="s">
        <v>36</v>
      </c>
      <c r="U36" s="43">
        <f>ROUND(IF(U35&lt;10,AVERAGE(U34/(1.0278-0.0278*U35),U34*U35^0.1),AVERAGE(U34*(1+0.0333*U35),U34*U35^0.1)),1)</f>
        <v>92.4</v>
      </c>
    </row>
    <row r="37">
      <c r="B37" s="3" t="s">
        <v>217</v>
      </c>
      <c r="D37" s="3">
        <v>7.5</v>
      </c>
    </row>
    <row r="38">
      <c r="D38" s="3">
        <v>10.0</v>
      </c>
    </row>
    <row r="39">
      <c r="A39" s="3"/>
      <c r="B39" s="3" t="s">
        <v>168</v>
      </c>
      <c r="C39" s="3">
        <v>8.0</v>
      </c>
      <c r="E39" s="3"/>
      <c r="O39" s="3">
        <v>34.0</v>
      </c>
    </row>
    <row r="40">
      <c r="A40" s="3"/>
      <c r="B40" s="3"/>
      <c r="C40" s="3"/>
      <c r="E40" s="3"/>
      <c r="O40" s="3">
        <v>6.0</v>
      </c>
    </row>
    <row r="41">
      <c r="A41" s="3"/>
      <c r="B41" s="3" t="s">
        <v>168</v>
      </c>
      <c r="C41" s="3">
        <v>8.0</v>
      </c>
      <c r="E41" s="3"/>
      <c r="O41" s="3">
        <v>34.0</v>
      </c>
    </row>
    <row r="42">
      <c r="A42" s="3"/>
      <c r="B42" s="3"/>
      <c r="C42" s="3"/>
      <c r="E42" s="3"/>
      <c r="O42" s="3">
        <v>6.0</v>
      </c>
    </row>
    <row r="43">
      <c r="A43" s="3"/>
      <c r="B43" s="3" t="s">
        <v>168</v>
      </c>
      <c r="C43" s="3">
        <v>8.0</v>
      </c>
      <c r="E43" s="3"/>
      <c r="O43" s="3">
        <v>34.0</v>
      </c>
    </row>
    <row r="44">
      <c r="A44" s="3"/>
      <c r="B44" s="3"/>
      <c r="C44" s="3"/>
      <c r="E44" s="3"/>
      <c r="O44" s="3">
        <v>6.0</v>
      </c>
    </row>
    <row r="45">
      <c r="A45" s="3" t="s">
        <v>49</v>
      </c>
      <c r="B45" s="3" t="s">
        <v>49</v>
      </c>
      <c r="C45" s="3">
        <v>8.0</v>
      </c>
      <c r="E45" s="3">
        <v>20.0</v>
      </c>
    </row>
    <row r="46">
      <c r="A46" s="3" t="s">
        <v>218</v>
      </c>
      <c r="E46" s="3">
        <v>10.0</v>
      </c>
    </row>
    <row r="47">
      <c r="B47" s="3" t="s">
        <v>49</v>
      </c>
      <c r="C47" s="3">
        <v>8.0</v>
      </c>
      <c r="E47" s="3">
        <v>20.0</v>
      </c>
    </row>
    <row r="48">
      <c r="A48" s="3" t="s">
        <v>219</v>
      </c>
      <c r="E48" s="3">
        <v>10.0</v>
      </c>
    </row>
    <row r="49">
      <c r="B49" s="3" t="s">
        <v>169</v>
      </c>
      <c r="C49" s="3">
        <v>8.0</v>
      </c>
      <c r="E49" s="3">
        <v>20.0</v>
      </c>
      <c r="O49" s="3">
        <v>40.0</v>
      </c>
    </row>
    <row r="50">
      <c r="E50" s="3">
        <v>3.0</v>
      </c>
      <c r="O50" s="3">
        <v>2.0</v>
      </c>
    </row>
    <row r="51">
      <c r="B51" s="3" t="s">
        <v>169</v>
      </c>
      <c r="C51" s="3">
        <v>8.0</v>
      </c>
      <c r="E51" s="3">
        <v>20.0</v>
      </c>
      <c r="O51" s="3">
        <v>40.0</v>
      </c>
    </row>
    <row r="52">
      <c r="E52" s="3">
        <v>2.0</v>
      </c>
      <c r="O52" s="3">
        <v>2.0</v>
      </c>
    </row>
    <row r="53">
      <c r="B53" s="3" t="s">
        <v>169</v>
      </c>
      <c r="C53" s="3">
        <v>8.0</v>
      </c>
      <c r="E53" s="3"/>
      <c r="O53" s="3">
        <v>40.0</v>
      </c>
    </row>
    <row r="54">
      <c r="E54" s="3"/>
      <c r="O54" s="3">
        <v>2.0</v>
      </c>
    </row>
    <row r="55">
      <c r="B55" s="3" t="s">
        <v>171</v>
      </c>
      <c r="E55" s="3"/>
      <c r="G55" s="169">
        <v>7.5</v>
      </c>
    </row>
    <row r="56">
      <c r="B56" s="3"/>
      <c r="E56" s="3"/>
      <c r="G56" s="169">
        <v>5.0</v>
      </c>
    </row>
    <row r="57">
      <c r="B57" s="3" t="s">
        <v>171</v>
      </c>
      <c r="E57" s="3"/>
      <c r="G57" s="169">
        <v>7.5</v>
      </c>
    </row>
    <row r="58">
      <c r="B58" s="3"/>
      <c r="E58" s="3"/>
      <c r="G58" s="169">
        <v>5.0</v>
      </c>
    </row>
    <row r="59">
      <c r="B59" s="3" t="s">
        <v>171</v>
      </c>
      <c r="E59" s="3"/>
      <c r="G59" s="169">
        <v>7.5</v>
      </c>
    </row>
    <row r="60">
      <c r="B60" s="3"/>
      <c r="E60" s="3"/>
      <c r="G60" s="169">
        <v>5.0</v>
      </c>
    </row>
    <row r="61">
      <c r="B61" s="3" t="s">
        <v>220</v>
      </c>
      <c r="E61" s="3">
        <v>12.0</v>
      </c>
      <c r="G61" s="169">
        <v>17.5</v>
      </c>
      <c r="H61" s="3">
        <v>22.0</v>
      </c>
    </row>
    <row r="62">
      <c r="E62" s="3">
        <v>20.0</v>
      </c>
      <c r="G62" s="169">
        <v>20.0</v>
      </c>
      <c r="H62" s="3">
        <v>15.0</v>
      </c>
    </row>
    <row r="63">
      <c r="B63" s="3" t="s">
        <v>220</v>
      </c>
      <c r="E63" s="3">
        <v>12.0</v>
      </c>
      <c r="G63" s="169">
        <v>17.5</v>
      </c>
      <c r="H63" s="3">
        <v>22.0</v>
      </c>
    </row>
    <row r="64">
      <c r="E64" s="3">
        <v>20.0</v>
      </c>
      <c r="G64" s="169">
        <v>20.0</v>
      </c>
      <c r="H64" s="3">
        <v>15.0</v>
      </c>
    </row>
    <row r="65">
      <c r="B65" s="3" t="s">
        <v>220</v>
      </c>
      <c r="E65" s="3">
        <v>12.0</v>
      </c>
      <c r="G65" s="169">
        <v>17.5</v>
      </c>
      <c r="H65" s="3">
        <v>22.0</v>
      </c>
    </row>
    <row r="66">
      <c r="E66" s="3">
        <v>20.0</v>
      </c>
      <c r="G66" s="169">
        <v>20.0</v>
      </c>
      <c r="H66" s="3">
        <v>15.0</v>
      </c>
    </row>
    <row r="67">
      <c r="B67" s="3" t="s">
        <v>220</v>
      </c>
      <c r="E67" s="3">
        <v>12.0</v>
      </c>
    </row>
    <row r="68">
      <c r="E68" s="3">
        <v>20.0</v>
      </c>
    </row>
    <row r="69">
      <c r="B69" s="3" t="s">
        <v>220</v>
      </c>
      <c r="E69" s="3">
        <v>12.0</v>
      </c>
    </row>
    <row r="70">
      <c r="E70" s="3">
        <v>20.0</v>
      </c>
    </row>
    <row r="71">
      <c r="B71" s="3" t="s">
        <v>220</v>
      </c>
      <c r="E71" s="3">
        <v>12.0</v>
      </c>
    </row>
    <row r="72">
      <c r="E72" s="3">
        <v>20.0</v>
      </c>
    </row>
    <row r="73">
      <c r="A73" s="3"/>
      <c r="B73" s="3" t="s">
        <v>157</v>
      </c>
      <c r="C73" s="3"/>
      <c r="F73" s="3"/>
      <c r="G73" s="169"/>
      <c r="H73" s="3"/>
      <c r="I73" s="3">
        <v>16.0</v>
      </c>
      <c r="J73" s="3"/>
      <c r="K73" s="3"/>
    </row>
    <row r="74">
      <c r="A74" s="3"/>
      <c r="B74" s="3"/>
      <c r="C74" s="3"/>
      <c r="F74" s="3"/>
      <c r="G74" s="169"/>
      <c r="H74" s="3"/>
      <c r="I74" s="3">
        <v>13.0</v>
      </c>
      <c r="J74" s="3"/>
      <c r="K74" s="3"/>
    </row>
    <row r="75">
      <c r="A75" s="3"/>
      <c r="B75" s="3" t="s">
        <v>157</v>
      </c>
      <c r="C75" s="3"/>
      <c r="F75" s="3"/>
      <c r="G75" s="169"/>
      <c r="H75" s="3"/>
      <c r="I75" s="3">
        <v>17.0</v>
      </c>
      <c r="J75" s="3"/>
      <c r="K75" s="3"/>
    </row>
    <row r="76">
      <c r="A76" s="3"/>
      <c r="B76" s="3"/>
      <c r="C76" s="3"/>
      <c r="F76" s="3"/>
      <c r="G76" s="169"/>
      <c r="H76" s="3"/>
      <c r="I76" s="3">
        <v>8.0</v>
      </c>
      <c r="J76" s="3"/>
      <c r="K76" s="3"/>
    </row>
    <row r="77">
      <c r="A77" s="3"/>
      <c r="B77" s="3" t="s">
        <v>157</v>
      </c>
      <c r="C77" s="3"/>
      <c r="F77" s="3"/>
      <c r="G77" s="169"/>
      <c r="H77" s="3"/>
      <c r="I77" s="3">
        <v>15.0</v>
      </c>
      <c r="J77" s="3"/>
      <c r="K77" s="3"/>
    </row>
    <row r="78">
      <c r="A78" s="3"/>
      <c r="B78" s="3"/>
      <c r="C78" s="3"/>
      <c r="F78" s="3"/>
      <c r="G78" s="169"/>
      <c r="H78" s="3"/>
      <c r="I78" s="3">
        <v>17.0</v>
      </c>
      <c r="J78" s="3"/>
      <c r="K78" s="3"/>
      <c r="V78" s="15" t="s">
        <v>26</v>
      </c>
      <c r="W78" s="68">
        <v>24.1</v>
      </c>
    </row>
    <row r="79">
      <c r="A79" s="3" t="s">
        <v>208</v>
      </c>
      <c r="B79" s="3" t="s">
        <v>209</v>
      </c>
      <c r="C79" s="3">
        <v>6.2</v>
      </c>
      <c r="F79" s="3">
        <v>18.0</v>
      </c>
      <c r="G79" s="169">
        <v>18.0</v>
      </c>
      <c r="H79" s="3">
        <v>18.0</v>
      </c>
      <c r="I79" s="3">
        <v>20.0</v>
      </c>
      <c r="J79" s="3">
        <v>19.0</v>
      </c>
      <c r="K79" s="3">
        <v>19.5</v>
      </c>
      <c r="L79" s="3">
        <v>21.0</v>
      </c>
      <c r="M79" s="3"/>
      <c r="V79" s="15" t="s">
        <v>37</v>
      </c>
      <c r="W79" s="68">
        <v>14.0</v>
      </c>
    </row>
    <row r="80">
      <c r="F80" s="3">
        <v>10.0</v>
      </c>
      <c r="G80" s="169">
        <v>11.0</v>
      </c>
      <c r="H80" s="3">
        <v>12.0</v>
      </c>
      <c r="I80" s="3">
        <v>10.0</v>
      </c>
      <c r="J80" s="3">
        <v>13.0</v>
      </c>
      <c r="K80" s="3">
        <v>13.0</v>
      </c>
      <c r="L80" s="3">
        <v>8.0</v>
      </c>
      <c r="M80" s="3"/>
      <c r="V80" s="15" t="s">
        <v>36</v>
      </c>
      <c r="W80" s="43">
        <f>ROUND(IF(W79&lt;10,AVERAGE(W78/(1.0278-0.0278*W79),W78*W79^0.1),AVERAGE(W78*(1+0.0333*W79),W78*W79^0.1)),1)</f>
        <v>33.4</v>
      </c>
    </row>
    <row r="81">
      <c r="B81" s="3" t="s">
        <v>209</v>
      </c>
      <c r="C81" s="3">
        <v>6.2</v>
      </c>
      <c r="F81" s="3">
        <v>18.0</v>
      </c>
      <c r="G81" s="169">
        <v>18.0</v>
      </c>
      <c r="H81" s="3">
        <v>18.0</v>
      </c>
      <c r="I81" s="3">
        <v>22.0</v>
      </c>
      <c r="J81" s="3">
        <v>21.0</v>
      </c>
      <c r="K81" s="3">
        <v>21.5</v>
      </c>
      <c r="L81" s="3">
        <v>21.0</v>
      </c>
    </row>
    <row r="82">
      <c r="F82" s="3">
        <v>10.0</v>
      </c>
      <c r="G82" s="169">
        <v>11.0</v>
      </c>
      <c r="H82" s="3">
        <v>12.0</v>
      </c>
      <c r="I82" s="3">
        <v>8.0</v>
      </c>
      <c r="J82" s="3">
        <v>9.0</v>
      </c>
      <c r="K82" s="3">
        <v>11.0</v>
      </c>
      <c r="L82" s="3">
        <v>8.0</v>
      </c>
      <c r="V82" s="15" t="s">
        <v>26</v>
      </c>
      <c r="W82" s="68">
        <v>28.1</v>
      </c>
    </row>
    <row r="83">
      <c r="B83" s="3" t="s">
        <v>209</v>
      </c>
      <c r="C83" s="3">
        <v>6.2</v>
      </c>
      <c r="F83" s="3">
        <v>18.0</v>
      </c>
      <c r="G83" s="169">
        <v>18.0</v>
      </c>
      <c r="H83" s="3">
        <v>18.0</v>
      </c>
      <c r="I83" s="3">
        <v>18.0</v>
      </c>
      <c r="J83" s="3">
        <v>17.0</v>
      </c>
      <c r="K83" s="3">
        <v>17.5</v>
      </c>
      <c r="L83" s="3">
        <v>21.0</v>
      </c>
      <c r="V83" s="15" t="s">
        <v>37</v>
      </c>
      <c r="W83" s="68">
        <v>9.0</v>
      </c>
    </row>
    <row r="84">
      <c r="F84" s="3">
        <v>10.0</v>
      </c>
      <c r="G84" s="169">
        <v>11.0</v>
      </c>
      <c r="H84" s="3">
        <v>12.0</v>
      </c>
      <c r="I84" s="3">
        <v>12.0</v>
      </c>
      <c r="J84" s="3">
        <v>16.0</v>
      </c>
      <c r="K84" s="3">
        <v>16.0</v>
      </c>
      <c r="L84" s="3">
        <v>8.0</v>
      </c>
      <c r="V84" s="15" t="s">
        <v>36</v>
      </c>
      <c r="W84" s="43">
        <f>ROUND(IF(W83&lt;10,AVERAGE(W82/(1.0278-0.0278*W83),W82*W83^0.1),AVERAGE(W82*(1+0.0333*W83),W82*W83^0.1)),1)</f>
        <v>35.6</v>
      </c>
    </row>
    <row r="85">
      <c r="A85" s="3" t="s">
        <v>221</v>
      </c>
      <c r="B85" s="3" t="s">
        <v>211</v>
      </c>
      <c r="C85" s="3">
        <v>4.6</v>
      </c>
      <c r="F85" s="3">
        <v>15.0</v>
      </c>
      <c r="G85" s="169">
        <v>16.0</v>
      </c>
      <c r="H85" s="3">
        <v>16.0</v>
      </c>
      <c r="I85" s="3">
        <v>20.0</v>
      </c>
      <c r="J85" s="3">
        <v>21.0</v>
      </c>
      <c r="K85" s="3">
        <v>21.5</v>
      </c>
      <c r="L85" s="3">
        <v>22.0</v>
      </c>
      <c r="M85" s="3"/>
    </row>
    <row r="86">
      <c r="F86" s="3">
        <v>15.0</v>
      </c>
      <c r="G86" s="169">
        <v>15.0</v>
      </c>
      <c r="H86" s="3">
        <v>16.0</v>
      </c>
      <c r="I86" s="3">
        <v>13.0</v>
      </c>
      <c r="J86" s="3">
        <v>12.0</v>
      </c>
      <c r="K86" s="3">
        <v>11.0</v>
      </c>
      <c r="L86" s="3">
        <v>8.0</v>
      </c>
      <c r="M86" s="3"/>
    </row>
    <row r="87">
      <c r="B87" s="3" t="s">
        <v>211</v>
      </c>
      <c r="C87" s="3">
        <v>4.6</v>
      </c>
      <c r="F87" s="3">
        <v>15.0</v>
      </c>
      <c r="G87" s="169">
        <v>16.0</v>
      </c>
      <c r="H87" s="3">
        <v>16.0</v>
      </c>
      <c r="I87" s="3">
        <v>24.0</v>
      </c>
      <c r="J87" s="3">
        <v>23.0</v>
      </c>
      <c r="K87" s="3">
        <v>23.5</v>
      </c>
      <c r="L87" s="3">
        <v>22.0</v>
      </c>
    </row>
    <row r="88">
      <c r="F88" s="3">
        <v>15.0</v>
      </c>
      <c r="G88" s="169">
        <v>15.0</v>
      </c>
      <c r="H88" s="3">
        <v>16.0</v>
      </c>
      <c r="I88" s="3">
        <v>7.0</v>
      </c>
      <c r="J88" s="3">
        <v>8.0</v>
      </c>
      <c r="K88" s="3">
        <v>9.0</v>
      </c>
      <c r="L88" s="3">
        <v>8.0</v>
      </c>
    </row>
    <row r="89">
      <c r="B89" s="3" t="s">
        <v>211</v>
      </c>
      <c r="C89" s="3">
        <v>4.6</v>
      </c>
      <c r="F89" s="3">
        <v>15.0</v>
      </c>
      <c r="G89" s="169">
        <v>16.0</v>
      </c>
      <c r="H89" s="3">
        <v>16.0</v>
      </c>
      <c r="I89" s="3">
        <v>22.0</v>
      </c>
      <c r="J89" s="3">
        <v>19.0</v>
      </c>
      <c r="K89" s="3">
        <v>19.5</v>
      </c>
      <c r="L89" s="3">
        <v>22.0</v>
      </c>
    </row>
    <row r="90">
      <c r="F90" s="3">
        <v>15.0</v>
      </c>
      <c r="G90" s="169">
        <v>20.0</v>
      </c>
      <c r="H90" s="3">
        <v>16.0</v>
      </c>
      <c r="I90" s="3">
        <v>10.0</v>
      </c>
      <c r="J90" s="3">
        <v>16.0</v>
      </c>
      <c r="K90" s="3">
        <v>15.0</v>
      </c>
      <c r="L90" s="3">
        <v>8.0</v>
      </c>
    </row>
    <row r="91">
      <c r="B91" s="3" t="s">
        <v>205</v>
      </c>
      <c r="C91" s="3">
        <v>8.0</v>
      </c>
      <c r="N91" s="3">
        <v>50.0</v>
      </c>
    </row>
    <row r="92">
      <c r="N92" s="3">
        <v>1.0</v>
      </c>
    </row>
    <row r="93">
      <c r="B93" s="3" t="s">
        <v>205</v>
      </c>
      <c r="C93" s="3">
        <v>8.0</v>
      </c>
      <c r="N93" s="3">
        <v>50.0</v>
      </c>
    </row>
    <row r="94">
      <c r="N94" s="3">
        <v>1.0</v>
      </c>
    </row>
    <row r="95">
      <c r="B95" s="3" t="s">
        <v>205</v>
      </c>
      <c r="C95" s="3">
        <v>8.0</v>
      </c>
      <c r="N95" s="3">
        <v>50.0</v>
      </c>
    </row>
    <row r="96">
      <c r="N96" s="3">
        <v>1.0</v>
      </c>
    </row>
    <row r="97">
      <c r="B97" s="3" t="s">
        <v>205</v>
      </c>
      <c r="C97" s="3">
        <v>8.0</v>
      </c>
    </row>
    <row r="99">
      <c r="B99" s="3" t="s">
        <v>205</v>
      </c>
      <c r="C99" s="3">
        <v>8.0</v>
      </c>
    </row>
    <row r="101">
      <c r="B101" s="3" t="s">
        <v>205</v>
      </c>
      <c r="C101" s="3">
        <v>8.0</v>
      </c>
    </row>
    <row r="103">
      <c r="B103" s="3" t="s">
        <v>205</v>
      </c>
      <c r="C103" s="3">
        <v>8.0</v>
      </c>
    </row>
    <row r="105">
      <c r="B105" s="3" t="s">
        <v>220</v>
      </c>
      <c r="J105" s="3">
        <v>0.0</v>
      </c>
      <c r="L105" s="3">
        <v>22.0</v>
      </c>
    </row>
    <row r="106">
      <c r="J106" s="3">
        <v>40.0</v>
      </c>
      <c r="L106" s="3">
        <v>20.0</v>
      </c>
    </row>
    <row r="107">
      <c r="B107" s="3" t="s">
        <v>220</v>
      </c>
      <c r="J107" s="3">
        <v>12.0</v>
      </c>
      <c r="L107" s="3">
        <v>22.0</v>
      </c>
    </row>
    <row r="108">
      <c r="J108" s="3">
        <v>30.0</v>
      </c>
      <c r="L108" s="3">
        <v>20.0</v>
      </c>
    </row>
    <row r="109">
      <c r="B109" s="3" t="s">
        <v>220</v>
      </c>
      <c r="J109" s="3">
        <v>22.0</v>
      </c>
      <c r="L109" s="3">
        <v>22.0</v>
      </c>
    </row>
    <row r="110">
      <c r="J110" s="3">
        <v>20.0</v>
      </c>
      <c r="L110" s="3">
        <v>20.0</v>
      </c>
    </row>
    <row r="111">
      <c r="B111" s="3" t="s">
        <v>182</v>
      </c>
      <c r="C111" s="3">
        <v>8.0</v>
      </c>
      <c r="N111" s="3">
        <v>40.0</v>
      </c>
    </row>
    <row r="112">
      <c r="N112" s="3">
        <v>3.0</v>
      </c>
    </row>
    <row r="113">
      <c r="B113" s="3" t="s">
        <v>182</v>
      </c>
      <c r="C113" s="3">
        <v>8.0</v>
      </c>
      <c r="N113" s="3">
        <v>44.0</v>
      </c>
    </row>
    <row r="114">
      <c r="N114" s="3">
        <v>3.0</v>
      </c>
    </row>
    <row r="115">
      <c r="B115" s="3" t="s">
        <v>182</v>
      </c>
      <c r="C115" s="3">
        <v>8.0</v>
      </c>
      <c r="N115" s="3">
        <v>48.0</v>
      </c>
    </row>
    <row r="116">
      <c r="N116" s="3">
        <v>3.0</v>
      </c>
    </row>
    <row r="117">
      <c r="B117" s="3" t="s">
        <v>182</v>
      </c>
      <c r="C117" s="3">
        <v>8.0</v>
      </c>
      <c r="N117" s="3">
        <v>50.0</v>
      </c>
    </row>
    <row r="118">
      <c r="N118" s="3">
        <v>2.0</v>
      </c>
    </row>
    <row r="119">
      <c r="B119" s="3" t="s">
        <v>182</v>
      </c>
      <c r="C119" s="3">
        <v>8.0</v>
      </c>
      <c r="N119" s="3">
        <v>52.0</v>
      </c>
    </row>
    <row r="120">
      <c r="N120" s="3">
        <v>2.0</v>
      </c>
    </row>
    <row r="121">
      <c r="B121" s="3" t="s">
        <v>182</v>
      </c>
      <c r="C121" s="3">
        <v>8.0</v>
      </c>
      <c r="N121" s="3">
        <v>54.0</v>
      </c>
    </row>
    <row r="122">
      <c r="N122" s="3">
        <v>2.0</v>
      </c>
    </row>
    <row r="123">
      <c r="B123" s="3" t="s">
        <v>182</v>
      </c>
      <c r="C123" s="3">
        <v>8.0</v>
      </c>
      <c r="N123" s="3">
        <v>56.0</v>
      </c>
    </row>
    <row r="124">
      <c r="N124" s="3">
        <v>1.0</v>
      </c>
    </row>
    <row r="125">
      <c r="B125" s="3" t="s">
        <v>182</v>
      </c>
      <c r="C125" s="3">
        <v>8.0</v>
      </c>
      <c r="N125" s="3">
        <v>58.0</v>
      </c>
    </row>
    <row r="126">
      <c r="N126" s="3">
        <v>1.0</v>
      </c>
    </row>
    <row r="127">
      <c r="B127" s="3" t="s">
        <v>64</v>
      </c>
      <c r="C127" s="3">
        <v>8.0</v>
      </c>
      <c r="O127" s="3">
        <v>4.0</v>
      </c>
      <c r="P127" s="3">
        <v>20.0</v>
      </c>
      <c r="Q127" s="3">
        <v>20.0</v>
      </c>
    </row>
    <row r="128">
      <c r="O128" s="3">
        <v>5.0</v>
      </c>
      <c r="P128" s="3">
        <v>5.0</v>
      </c>
      <c r="Q128" s="3">
        <v>5.0</v>
      </c>
    </row>
    <row r="129">
      <c r="B129" s="3" t="s">
        <v>64</v>
      </c>
      <c r="C129" s="3">
        <v>8.0</v>
      </c>
      <c r="O129" s="3">
        <v>4.0</v>
      </c>
      <c r="P129" s="3">
        <v>20.5</v>
      </c>
      <c r="Q129" s="3">
        <v>21.0</v>
      </c>
    </row>
    <row r="130">
      <c r="O130" s="3">
        <v>5.0</v>
      </c>
      <c r="P130" s="3">
        <v>5.0</v>
      </c>
      <c r="Q130" s="3">
        <v>5.0</v>
      </c>
    </row>
    <row r="131">
      <c r="B131" s="3" t="s">
        <v>64</v>
      </c>
      <c r="C131" s="3">
        <v>8.0</v>
      </c>
      <c r="O131" s="3">
        <v>4.0</v>
      </c>
      <c r="P131" s="3">
        <v>21.0</v>
      </c>
      <c r="Q131" s="3">
        <v>22.0</v>
      </c>
    </row>
    <row r="132">
      <c r="O132" s="3">
        <v>5.0</v>
      </c>
      <c r="P132" s="3">
        <v>5.0</v>
      </c>
      <c r="Q132" s="3">
        <v>5.0</v>
      </c>
    </row>
    <row r="133">
      <c r="B133"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8" width="4.25"/>
    <col customWidth="1" min="19" max="22" width="4.38"/>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24">
        <v>45933.0</v>
      </c>
      <c r="S1" s="124">
        <v>45940.0</v>
      </c>
      <c r="T1" s="124">
        <v>45947.0</v>
      </c>
      <c r="U1" s="124">
        <v>45954.0</v>
      </c>
      <c r="V1" s="124">
        <v>45961.0</v>
      </c>
      <c r="W1" s="116" t="s">
        <v>160</v>
      </c>
      <c r="Z1" s="101" t="s">
        <v>223</v>
      </c>
      <c r="AA1" s="170"/>
      <c r="AB1" s="3" t="s">
        <v>224</v>
      </c>
      <c r="AC1" s="3" t="s">
        <v>224</v>
      </c>
      <c r="AD1" s="3" t="s">
        <v>224</v>
      </c>
      <c r="AE1" s="3" t="s">
        <v>224</v>
      </c>
      <c r="AF1" s="3" t="s">
        <v>224</v>
      </c>
      <c r="AG1" s="3" t="s">
        <v>224</v>
      </c>
      <c r="AI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R2" s="3">
        <v>66.6</v>
      </c>
      <c r="S2" s="3">
        <v>67.2</v>
      </c>
      <c r="T2" s="3">
        <v>68.1</v>
      </c>
      <c r="U2" s="3">
        <v>68.6</v>
      </c>
      <c r="V2" s="3">
        <v>68.5</v>
      </c>
      <c r="Z2" s="172"/>
      <c r="AA2" s="101"/>
      <c r="AE2" s="3" t="s">
        <v>225</v>
      </c>
      <c r="AG2" s="3" t="s">
        <v>226</v>
      </c>
    </row>
    <row r="3">
      <c r="B3" s="173" t="s">
        <v>163</v>
      </c>
      <c r="C3" s="174">
        <v>8.0</v>
      </c>
      <c r="D3" s="175">
        <v>60.0</v>
      </c>
      <c r="E3" s="175">
        <v>60.0</v>
      </c>
      <c r="F3" s="176">
        <v>60.0</v>
      </c>
      <c r="G3" s="176">
        <v>60.0</v>
      </c>
      <c r="H3" s="176">
        <v>60.0</v>
      </c>
      <c r="I3" s="177"/>
      <c r="AB3" s="171">
        <v>45821.0</v>
      </c>
      <c r="AC3" s="109">
        <v>45828.0</v>
      </c>
      <c r="AD3" s="73">
        <v>45835.0</v>
      </c>
      <c r="AE3" s="109">
        <v>45842.0</v>
      </c>
      <c r="AF3" s="73">
        <v>45849.0</v>
      </c>
      <c r="AG3" s="73">
        <v>45856.0</v>
      </c>
      <c r="AH3" s="124">
        <v>45863.0</v>
      </c>
    </row>
    <row r="4">
      <c r="B4" s="178"/>
      <c r="C4" s="101"/>
      <c r="D4" s="108">
        <v>3.0</v>
      </c>
      <c r="E4" s="108">
        <v>4.0</v>
      </c>
      <c r="F4" s="3">
        <v>3.0</v>
      </c>
      <c r="G4" s="3">
        <v>3.0</v>
      </c>
      <c r="H4" s="3">
        <v>3.0</v>
      </c>
      <c r="I4" s="179"/>
      <c r="AB4" s="108">
        <v>67.1</v>
      </c>
      <c r="AC4" s="108">
        <v>65.8</v>
      </c>
      <c r="AD4" s="3">
        <v>66.5</v>
      </c>
      <c r="AE4" s="3">
        <v>66.4</v>
      </c>
      <c r="AF4" s="3">
        <v>66.5</v>
      </c>
      <c r="AG4" s="3">
        <v>66.9</v>
      </c>
      <c r="AH4" s="3">
        <v>66.9</v>
      </c>
    </row>
    <row r="5">
      <c r="B5" s="180" t="s">
        <v>163</v>
      </c>
      <c r="C5" s="101">
        <v>8.0</v>
      </c>
      <c r="D5" s="108">
        <v>70.0</v>
      </c>
      <c r="E5" s="108">
        <v>70.0</v>
      </c>
      <c r="F5" s="3">
        <v>70.0</v>
      </c>
      <c r="G5" s="3">
        <v>70.0</v>
      </c>
      <c r="H5" s="3">
        <v>70.0</v>
      </c>
      <c r="I5" s="181"/>
      <c r="J5" s="181"/>
      <c r="X5" s="181"/>
    </row>
    <row r="6">
      <c r="B6" s="178"/>
      <c r="C6" s="101"/>
      <c r="D6" s="108">
        <v>2.0</v>
      </c>
      <c r="E6" s="108">
        <v>2.0</v>
      </c>
      <c r="F6" s="3">
        <v>2.0</v>
      </c>
      <c r="G6" s="3">
        <v>2.0</v>
      </c>
      <c r="H6" s="3">
        <v>2.0</v>
      </c>
      <c r="I6" s="179"/>
      <c r="J6" s="179"/>
      <c r="X6" s="179"/>
    </row>
    <row r="7">
      <c r="B7" s="180" t="s">
        <v>163</v>
      </c>
      <c r="C7" s="101">
        <v>8.0</v>
      </c>
      <c r="D7" s="108">
        <v>79.0</v>
      </c>
      <c r="E7" s="108">
        <v>84.0</v>
      </c>
      <c r="F7" s="3">
        <v>80.0</v>
      </c>
      <c r="G7" s="3">
        <v>80.0</v>
      </c>
      <c r="H7" s="3">
        <v>80.0</v>
      </c>
      <c r="I7" s="179"/>
      <c r="J7" s="179"/>
      <c r="X7" s="179"/>
    </row>
    <row r="8">
      <c r="B8" s="178"/>
      <c r="C8" s="101"/>
      <c r="D8" s="108">
        <v>1.0</v>
      </c>
      <c r="E8" s="108">
        <v>1.0</v>
      </c>
      <c r="F8" s="3">
        <v>1.0</v>
      </c>
      <c r="G8" s="3">
        <v>1.0</v>
      </c>
      <c r="H8" s="3">
        <v>1.0</v>
      </c>
      <c r="I8" s="179"/>
      <c r="J8" s="179"/>
      <c r="X8" s="179"/>
    </row>
    <row r="9">
      <c r="B9" s="180" t="s">
        <v>163</v>
      </c>
      <c r="C9" s="101">
        <v>8.0</v>
      </c>
      <c r="D9" s="182">
        <v>80.0</v>
      </c>
      <c r="E9" s="182">
        <v>85.0</v>
      </c>
      <c r="F9" s="168">
        <v>92.0</v>
      </c>
      <c r="G9" s="183">
        <v>93.0</v>
      </c>
      <c r="H9" s="3">
        <v>90.0</v>
      </c>
      <c r="I9" s="181"/>
      <c r="J9" s="181"/>
      <c r="X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c r="R13" s="3">
        <v>72.0</v>
      </c>
    </row>
    <row r="14">
      <c r="B14" s="178"/>
      <c r="C14" s="101"/>
      <c r="D14" s="108">
        <v>15.0</v>
      </c>
      <c r="E14" s="108">
        <v>13.0</v>
      </c>
      <c r="F14" s="3">
        <v>14.0</v>
      </c>
      <c r="G14" s="3">
        <v>10.0</v>
      </c>
      <c r="H14" s="3">
        <v>10.0</v>
      </c>
      <c r="I14" s="179"/>
      <c r="Q14" s="3">
        <v>2.0</v>
      </c>
      <c r="R14" s="3">
        <v>2.0</v>
      </c>
    </row>
    <row r="15">
      <c r="B15" s="180" t="s">
        <v>166</v>
      </c>
      <c r="C15" s="101">
        <v>8.0</v>
      </c>
      <c r="D15" s="108">
        <v>50.0</v>
      </c>
      <c r="E15" s="108">
        <v>60.0</v>
      </c>
      <c r="F15" s="3">
        <v>60.0</v>
      </c>
      <c r="G15" s="168">
        <v>61.0</v>
      </c>
      <c r="H15" s="168">
        <v>62.0</v>
      </c>
      <c r="I15" s="179"/>
      <c r="Q15" s="3">
        <v>70.0</v>
      </c>
      <c r="R15" s="3">
        <v>72.0</v>
      </c>
    </row>
    <row r="16">
      <c r="B16" s="178"/>
      <c r="C16" s="172"/>
      <c r="D16" s="108">
        <v>12.0</v>
      </c>
      <c r="E16" s="108">
        <v>8.0</v>
      </c>
      <c r="F16" s="3">
        <v>8.0</v>
      </c>
      <c r="G16" s="168">
        <v>8.0</v>
      </c>
      <c r="H16" s="168">
        <v>8.0</v>
      </c>
      <c r="I16" s="179"/>
      <c r="Q16" s="3">
        <v>2.0</v>
      </c>
      <c r="R16" s="3">
        <v>2.0</v>
      </c>
    </row>
    <row r="17">
      <c r="B17" s="180" t="s">
        <v>166</v>
      </c>
      <c r="C17" s="101">
        <v>8.0</v>
      </c>
      <c r="D17" s="108">
        <v>60.0</v>
      </c>
      <c r="E17" s="108">
        <v>70.0</v>
      </c>
      <c r="F17" s="3">
        <v>70.0</v>
      </c>
      <c r="G17" s="168">
        <v>71.0</v>
      </c>
      <c r="H17" s="168">
        <v>72.0</v>
      </c>
      <c r="I17" s="179"/>
      <c r="Q17" s="3">
        <v>70.0</v>
      </c>
      <c r="R17" s="3">
        <v>72.0</v>
      </c>
      <c r="X17" s="15" t="s">
        <v>26</v>
      </c>
      <c r="Y17" s="190">
        <v>54.0</v>
      </c>
      <c r="Z17" s="3" t="s">
        <v>26</v>
      </c>
      <c r="AA17" s="191">
        <f>IF(AA18&lt;10, 2*AA19 / (1/(1.0278 - 0.0278*AA18) + AA18^0.1), 2*AA19 / ((1 + 0.0333*AA18) + AA18^0.1))</f>
        <v>48.22102825</v>
      </c>
    </row>
    <row r="18">
      <c r="B18" s="178"/>
      <c r="C18" s="172"/>
      <c r="D18" s="108">
        <v>8.0</v>
      </c>
      <c r="E18" s="108">
        <v>5.0</v>
      </c>
      <c r="F18" s="3">
        <v>5.0</v>
      </c>
      <c r="G18" s="168">
        <v>5.0</v>
      </c>
      <c r="H18" s="168">
        <v>5.0</v>
      </c>
      <c r="I18" s="179"/>
      <c r="Q18" s="3">
        <v>2.0</v>
      </c>
      <c r="R18" s="3">
        <v>2.0</v>
      </c>
      <c r="X18" s="15" t="s">
        <v>37</v>
      </c>
      <c r="Y18" s="190">
        <v>12.0</v>
      </c>
      <c r="Z18" s="3" t="s">
        <v>227</v>
      </c>
      <c r="AA18" s="192">
        <v>4.0</v>
      </c>
    </row>
    <row r="19">
      <c r="B19" s="180" t="s">
        <v>166</v>
      </c>
      <c r="C19" s="101">
        <v>8.0</v>
      </c>
      <c r="D19" s="108">
        <v>70.0</v>
      </c>
      <c r="E19" s="108">
        <v>75.0</v>
      </c>
      <c r="F19" s="193">
        <v>78.0</v>
      </c>
      <c r="G19" s="3">
        <v>77.0</v>
      </c>
      <c r="H19" s="3">
        <v>77.0</v>
      </c>
      <c r="I19" s="179"/>
      <c r="X19" s="15" t="s">
        <v>36</v>
      </c>
      <c r="Y19" s="43">
        <f>ROUND(IF(Y18&lt;10,AVERAGE(Y17/(1.0278-0.0278*Y18),Y17*Y18^0.1),AVERAGE(Y17*(1+0.0333*Y18),Y17*Y18^0.1)),1)</f>
        <v>72.4</v>
      </c>
      <c r="Z19" s="3" t="s">
        <v>228</v>
      </c>
      <c r="AA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X22" s="15" t="s">
        <v>26</v>
      </c>
      <c r="Y22" s="68">
        <v>48.0</v>
      </c>
    </row>
    <row r="23">
      <c r="B23" s="180" t="s">
        <v>49</v>
      </c>
      <c r="C23" s="101">
        <v>8.0</v>
      </c>
      <c r="D23" s="108"/>
      <c r="E23" s="108"/>
      <c r="F23" s="3"/>
      <c r="G23" s="3"/>
      <c r="H23" s="3"/>
      <c r="I23" s="179"/>
      <c r="N23" s="168"/>
      <c r="O23" s="3"/>
      <c r="Q23" s="3"/>
      <c r="T23" s="3">
        <v>40.0</v>
      </c>
      <c r="U23" s="3">
        <v>40.0</v>
      </c>
      <c r="V23" s="3">
        <v>40.0</v>
      </c>
      <c r="Y23" s="68"/>
    </row>
    <row r="24">
      <c r="B24" s="180"/>
      <c r="C24" s="101"/>
      <c r="D24" s="108"/>
      <c r="E24" s="108"/>
      <c r="F24" s="3"/>
      <c r="G24" s="3"/>
      <c r="H24" s="3"/>
      <c r="I24" s="179"/>
      <c r="N24" s="168"/>
      <c r="O24" s="3"/>
      <c r="Q24" s="3"/>
      <c r="R24" s="3"/>
      <c r="T24" s="3">
        <v>3.0</v>
      </c>
      <c r="U24" s="3">
        <v>3.0</v>
      </c>
      <c r="V24" s="3">
        <v>3.0</v>
      </c>
      <c r="Y24" s="68"/>
    </row>
    <row r="25">
      <c r="B25" s="173" t="s">
        <v>205</v>
      </c>
      <c r="C25" s="174">
        <v>8.0</v>
      </c>
      <c r="D25" s="175">
        <v>40.0</v>
      </c>
      <c r="E25" s="175">
        <v>40.0</v>
      </c>
      <c r="F25" s="176">
        <v>40.0</v>
      </c>
      <c r="G25" s="176">
        <v>40.0</v>
      </c>
      <c r="H25" s="176">
        <v>40.0</v>
      </c>
      <c r="I25" s="177"/>
      <c r="N25" s="168">
        <v>50.0</v>
      </c>
      <c r="O25" s="3">
        <v>40.0</v>
      </c>
      <c r="Q25" s="3">
        <v>54.0</v>
      </c>
      <c r="R25" s="3">
        <v>55.0</v>
      </c>
      <c r="T25" s="3">
        <v>50.0</v>
      </c>
      <c r="U25" s="3">
        <v>50.0</v>
      </c>
      <c r="V25" s="3">
        <v>50.0</v>
      </c>
      <c r="X25" s="15" t="s">
        <v>37</v>
      </c>
      <c r="Y25" s="68">
        <v>4.0</v>
      </c>
    </row>
    <row r="26">
      <c r="B26" s="178"/>
      <c r="C26" s="172"/>
      <c r="D26" s="108">
        <v>3.0</v>
      </c>
      <c r="E26" s="108">
        <v>3.0</v>
      </c>
      <c r="F26" s="3">
        <v>3.0</v>
      </c>
      <c r="G26" s="3">
        <v>3.0</v>
      </c>
      <c r="H26" s="3">
        <v>3.0</v>
      </c>
      <c r="I26" s="179"/>
      <c r="N26" s="168">
        <v>3.0</v>
      </c>
      <c r="O26" s="3">
        <v>5.0</v>
      </c>
      <c r="Q26" s="3">
        <v>1.0</v>
      </c>
      <c r="R26" s="3">
        <v>1.0</v>
      </c>
      <c r="T26" s="3">
        <v>1.0</v>
      </c>
      <c r="U26" s="3">
        <v>1.0</v>
      </c>
      <c r="V26" s="3">
        <v>1.0</v>
      </c>
      <c r="X26" s="15" t="s">
        <v>36</v>
      </c>
      <c r="Y26" s="43">
        <f>ROUND(IF(Y25&lt;10,AVERAGE(Y22/(1.0278-0.0278*Y25),Y22*Y25^0.1),AVERAGE(Y22*(1+0.0333*Y25),Y22*Y25^0.1)),1)</f>
        <v>53.8</v>
      </c>
      <c r="AB26" s="73"/>
      <c r="AC26" s="176"/>
      <c r="AG26" s="168"/>
      <c r="AH26" s="168"/>
      <c r="AI26" s="168"/>
      <c r="AJ26" s="168"/>
      <c r="AK26" s="75"/>
      <c r="AL26" s="198"/>
    </row>
    <row r="27">
      <c r="B27" s="180" t="s">
        <v>205</v>
      </c>
      <c r="C27" s="101">
        <v>8.0</v>
      </c>
      <c r="D27" s="108">
        <v>44.0</v>
      </c>
      <c r="E27" s="108">
        <v>44.0</v>
      </c>
      <c r="F27" s="3">
        <v>48.0</v>
      </c>
      <c r="G27" s="3">
        <v>48.0</v>
      </c>
      <c r="H27" s="3">
        <v>48.0</v>
      </c>
      <c r="I27" s="179"/>
      <c r="N27" s="168">
        <v>52.0</v>
      </c>
      <c r="O27" s="168">
        <v>50.0</v>
      </c>
      <c r="Q27" s="3">
        <v>54.0</v>
      </c>
      <c r="R27" s="3">
        <v>55.0</v>
      </c>
      <c r="T27" s="3">
        <v>50.0</v>
      </c>
      <c r="U27" s="3">
        <v>51.0</v>
      </c>
      <c r="V27" s="3">
        <v>52.0</v>
      </c>
      <c r="AB27" s="94"/>
      <c r="AC27" s="199"/>
      <c r="AD27" s="168"/>
      <c r="AE27" s="168"/>
      <c r="AF27" s="168"/>
      <c r="AG27" s="168"/>
      <c r="AH27" s="168"/>
      <c r="AI27" s="168"/>
      <c r="AJ27" s="168"/>
      <c r="AK27" s="182"/>
      <c r="AL27" s="196"/>
    </row>
    <row r="28">
      <c r="B28" s="178"/>
      <c r="C28" s="172"/>
      <c r="D28" s="108">
        <v>3.0</v>
      </c>
      <c r="E28" s="108">
        <v>3.0</v>
      </c>
      <c r="F28" s="3">
        <v>3.0</v>
      </c>
      <c r="G28" s="3">
        <v>3.0</v>
      </c>
      <c r="H28" s="3">
        <v>3.0</v>
      </c>
      <c r="I28" s="179"/>
      <c r="N28" s="168">
        <v>3.0</v>
      </c>
      <c r="O28" s="168">
        <v>4.0</v>
      </c>
      <c r="Q28" s="3">
        <v>1.0</v>
      </c>
      <c r="R28" s="3">
        <v>1.0</v>
      </c>
      <c r="T28" s="3">
        <v>1.0</v>
      </c>
      <c r="U28" s="3">
        <v>1.0</v>
      </c>
      <c r="V28" s="3">
        <v>1.0</v>
      </c>
      <c r="AB28" s="73"/>
      <c r="AC28" s="199"/>
      <c r="AD28" s="168"/>
      <c r="AE28" s="168"/>
      <c r="AF28" s="168"/>
      <c r="AG28" s="168"/>
      <c r="AH28" s="168"/>
      <c r="AI28" s="168"/>
      <c r="AJ28" s="168"/>
      <c r="AK28" s="75"/>
      <c r="AL28" s="198"/>
    </row>
    <row r="29">
      <c r="B29" s="180" t="s">
        <v>205</v>
      </c>
      <c r="C29" s="101">
        <v>8.0</v>
      </c>
      <c r="D29" s="108">
        <v>48.0</v>
      </c>
      <c r="E29" s="108">
        <v>48.0</v>
      </c>
      <c r="F29" s="3">
        <v>50.0</v>
      </c>
      <c r="G29" s="168">
        <v>50.5</v>
      </c>
      <c r="H29" s="168">
        <v>51.0</v>
      </c>
      <c r="I29" s="179"/>
      <c r="N29" s="168">
        <v>54.0</v>
      </c>
      <c r="O29" s="168">
        <v>53.0</v>
      </c>
      <c r="Q29" s="3">
        <v>54.0</v>
      </c>
      <c r="R29" s="3">
        <v>55.0</v>
      </c>
      <c r="T29" s="3">
        <v>50.0</v>
      </c>
      <c r="U29" s="3">
        <v>52.0</v>
      </c>
      <c r="V29" s="3">
        <v>53.0</v>
      </c>
      <c r="AB29" s="73"/>
      <c r="AC29" s="200"/>
      <c r="AD29" s="181"/>
      <c r="AE29" s="181"/>
      <c r="AF29" s="181"/>
      <c r="AG29" s="181"/>
      <c r="AH29" s="181"/>
      <c r="AI29" s="201"/>
      <c r="AJ29" s="201"/>
      <c r="AK29" s="202"/>
      <c r="AL29" s="203"/>
    </row>
    <row r="30">
      <c r="B30" s="178"/>
      <c r="C30" s="172"/>
      <c r="D30" s="108">
        <v>3.0</v>
      </c>
      <c r="E30" s="108">
        <v>3.0</v>
      </c>
      <c r="F30" s="3">
        <v>2.0</v>
      </c>
      <c r="G30" s="168">
        <v>2.0</v>
      </c>
      <c r="H30" s="168">
        <v>2.0</v>
      </c>
      <c r="I30" s="179"/>
      <c r="N30" s="168">
        <v>2.0</v>
      </c>
      <c r="O30" s="168">
        <v>3.0</v>
      </c>
      <c r="Q30" s="3">
        <v>1.0</v>
      </c>
      <c r="R30" s="3">
        <v>1.0</v>
      </c>
      <c r="T30" s="3">
        <v>1.0</v>
      </c>
      <c r="U30" s="3">
        <v>1.0</v>
      </c>
      <c r="V30" s="3">
        <v>1.0</v>
      </c>
      <c r="AB30" s="94"/>
      <c r="AC30" s="168"/>
      <c r="AD30" s="168"/>
      <c r="AE30" s="168"/>
      <c r="AF30" s="168"/>
      <c r="AG30" s="168"/>
      <c r="AH30" s="168"/>
      <c r="AK30" s="75"/>
      <c r="AL30" s="75"/>
    </row>
    <row r="31">
      <c r="B31" s="180" t="s">
        <v>205</v>
      </c>
      <c r="C31" s="101">
        <v>8.0</v>
      </c>
      <c r="D31" s="182">
        <v>49.0</v>
      </c>
      <c r="E31" s="108">
        <v>50.0</v>
      </c>
      <c r="F31" s="3">
        <v>52.0</v>
      </c>
      <c r="I31" s="179"/>
      <c r="N31" s="168">
        <v>56.0</v>
      </c>
      <c r="O31" s="168">
        <v>55.0</v>
      </c>
    </row>
    <row r="32">
      <c r="B32" s="178"/>
      <c r="C32" s="172"/>
      <c r="D32" s="182">
        <v>3.0</v>
      </c>
      <c r="E32" s="108">
        <v>2.0</v>
      </c>
      <c r="F32" s="3">
        <v>1.0</v>
      </c>
      <c r="I32" s="179"/>
      <c r="N32" s="168">
        <v>1.0</v>
      </c>
      <c r="O32" s="168">
        <v>2.0</v>
      </c>
      <c r="AB32" s="73"/>
    </row>
    <row r="33">
      <c r="B33" s="180" t="s">
        <v>205</v>
      </c>
      <c r="C33" s="101">
        <v>8.0</v>
      </c>
      <c r="D33" s="75"/>
      <c r="E33" s="108">
        <v>51.0</v>
      </c>
      <c r="F33" s="3">
        <v>53.0</v>
      </c>
      <c r="I33" s="179"/>
      <c r="N33" s="168">
        <v>58.0</v>
      </c>
      <c r="AB33" s="94"/>
    </row>
    <row r="34">
      <c r="B34" s="178"/>
      <c r="C34" s="172"/>
      <c r="D34" s="75"/>
      <c r="E34" s="108">
        <v>1.0</v>
      </c>
      <c r="F34" s="3">
        <v>1.0</v>
      </c>
      <c r="I34" s="179"/>
      <c r="N34" s="168">
        <v>1.0</v>
      </c>
      <c r="AB34" s="73"/>
    </row>
    <row r="35">
      <c r="B35" s="180" t="s">
        <v>205</v>
      </c>
      <c r="C35" s="101">
        <v>8.0</v>
      </c>
      <c r="D35" s="75"/>
      <c r="E35" s="108">
        <v>52.0</v>
      </c>
      <c r="F35" s="193">
        <v>53.5</v>
      </c>
      <c r="I35" s="179"/>
      <c r="N35" s="168">
        <v>59.0</v>
      </c>
      <c r="AB35" s="73"/>
    </row>
    <row r="36">
      <c r="B36" s="178"/>
      <c r="C36" s="172"/>
      <c r="D36" s="75"/>
      <c r="E36" s="108">
        <v>1.0</v>
      </c>
      <c r="F36" s="193">
        <v>1.0</v>
      </c>
      <c r="I36" s="179"/>
      <c r="N36" s="168">
        <v>1.0</v>
      </c>
      <c r="AA36" s="204"/>
      <c r="AB36" s="94"/>
    </row>
    <row r="37">
      <c r="B37" s="180" t="s">
        <v>205</v>
      </c>
      <c r="C37" s="101">
        <v>8.0</v>
      </c>
      <c r="D37" s="75"/>
      <c r="E37" s="182">
        <v>53.0</v>
      </c>
      <c r="I37" s="179"/>
      <c r="AA37" s="204"/>
      <c r="AB37" s="204"/>
      <c r="AC37" s="204"/>
      <c r="AD37" s="204"/>
      <c r="AE37" s="204"/>
    </row>
    <row r="38">
      <c r="B38" s="194"/>
      <c r="C38" s="195"/>
      <c r="D38" s="198"/>
      <c r="E38" s="196">
        <v>1.0</v>
      </c>
      <c r="F38" s="205"/>
      <c r="G38" s="205"/>
      <c r="H38" s="205"/>
      <c r="I38" s="189"/>
      <c r="AA38" s="204"/>
      <c r="AB38" s="204"/>
      <c r="AC38" s="204"/>
      <c r="AD38" s="204"/>
      <c r="AE38" s="204"/>
    </row>
    <row r="39">
      <c r="B39" s="206" t="s">
        <v>49</v>
      </c>
      <c r="C39" s="174">
        <v>8.0</v>
      </c>
      <c r="D39" s="207"/>
      <c r="E39" s="207"/>
      <c r="F39" s="176">
        <v>52.0</v>
      </c>
      <c r="G39" s="199">
        <v>51.0</v>
      </c>
      <c r="H39" s="199">
        <v>50.0</v>
      </c>
      <c r="I39" s="200">
        <v>40.0</v>
      </c>
      <c r="J39" s="208">
        <v>50.0</v>
      </c>
      <c r="K39" s="3">
        <v>40.0</v>
      </c>
      <c r="L39" s="3">
        <v>40.0</v>
      </c>
      <c r="M39" s="3">
        <v>40.0</v>
      </c>
      <c r="N39" s="3">
        <v>60.0</v>
      </c>
      <c r="O39" s="168">
        <v>58.0</v>
      </c>
      <c r="P39" s="3">
        <v>40.0</v>
      </c>
      <c r="S39" s="3">
        <v>40.0</v>
      </c>
      <c r="AA39" s="204"/>
      <c r="AB39" s="204"/>
      <c r="AC39" s="204"/>
      <c r="AD39" s="204"/>
      <c r="AE39" s="204"/>
    </row>
    <row r="40">
      <c r="B40" s="209"/>
      <c r="C40" s="172"/>
      <c r="D40" s="75"/>
      <c r="E40" s="75"/>
      <c r="F40" s="3">
        <v>1.0</v>
      </c>
      <c r="G40" s="168">
        <v>3.0</v>
      </c>
      <c r="H40" s="168">
        <v>4.0</v>
      </c>
      <c r="I40" s="181">
        <v>4.0</v>
      </c>
      <c r="J40" s="208">
        <v>7.0</v>
      </c>
      <c r="K40" s="3">
        <v>4.0</v>
      </c>
      <c r="L40" s="3">
        <v>4.0</v>
      </c>
      <c r="M40" s="3">
        <v>4.0</v>
      </c>
      <c r="N40" s="3">
        <v>1.0</v>
      </c>
      <c r="O40" s="168">
        <v>3.0</v>
      </c>
      <c r="P40" s="3">
        <v>4.0</v>
      </c>
      <c r="S40" s="3">
        <v>4.0</v>
      </c>
      <c r="AA40" s="204"/>
      <c r="AB40" s="204"/>
      <c r="AC40" s="204"/>
      <c r="AD40" s="204"/>
      <c r="AE40" s="204"/>
    </row>
    <row r="41">
      <c r="B41" s="209" t="s">
        <v>49</v>
      </c>
      <c r="C41" s="101">
        <v>8.0</v>
      </c>
      <c r="D41" s="75"/>
      <c r="E41" s="75"/>
      <c r="F41" s="3">
        <v>53.0</v>
      </c>
      <c r="G41" s="168">
        <v>53.0</v>
      </c>
      <c r="H41" s="168">
        <v>54.0</v>
      </c>
      <c r="I41" s="181">
        <v>50.0</v>
      </c>
      <c r="J41" s="168">
        <v>54.0</v>
      </c>
      <c r="K41" s="3">
        <v>50.0</v>
      </c>
      <c r="L41" s="3">
        <v>50.0</v>
      </c>
      <c r="M41" s="3">
        <v>50.0</v>
      </c>
      <c r="N41" s="168">
        <v>47.0</v>
      </c>
      <c r="O41" s="168">
        <v>50.0</v>
      </c>
      <c r="P41" s="3">
        <v>50.0</v>
      </c>
      <c r="S41" s="3">
        <v>50.0</v>
      </c>
      <c r="AA41" s="204"/>
      <c r="AB41" s="204"/>
      <c r="AC41" s="204"/>
      <c r="AD41" s="204"/>
      <c r="AE41" s="204"/>
    </row>
    <row r="42">
      <c r="B42" s="209"/>
      <c r="C42" s="172"/>
      <c r="D42" s="75"/>
      <c r="E42" s="75"/>
      <c r="F42" s="3">
        <v>1.0</v>
      </c>
      <c r="G42" s="168">
        <v>2.0</v>
      </c>
      <c r="H42" s="168">
        <v>2.0</v>
      </c>
      <c r="I42" s="181">
        <v>3.0</v>
      </c>
      <c r="J42" s="168">
        <v>3.0</v>
      </c>
      <c r="K42" s="3">
        <v>2.0</v>
      </c>
      <c r="L42" s="3">
        <v>2.0</v>
      </c>
      <c r="M42" s="3">
        <v>2.0</v>
      </c>
      <c r="N42" s="168">
        <v>12.0</v>
      </c>
      <c r="O42" s="168">
        <v>9.0</v>
      </c>
      <c r="P42" s="3">
        <v>2.0</v>
      </c>
      <c r="S42" s="3">
        <v>2.0</v>
      </c>
      <c r="AA42" s="204"/>
      <c r="AB42" s="204"/>
      <c r="AC42" s="204"/>
      <c r="AD42" s="204"/>
      <c r="AE42" s="204"/>
    </row>
    <row r="43">
      <c r="B43" s="209" t="s">
        <v>49</v>
      </c>
      <c r="C43" s="101">
        <v>8.0</v>
      </c>
      <c r="D43" s="75"/>
      <c r="E43" s="75"/>
      <c r="F43" s="168">
        <v>54.0</v>
      </c>
      <c r="G43" s="168">
        <v>55.0</v>
      </c>
      <c r="H43" s="168">
        <v>57.0</v>
      </c>
      <c r="I43" s="181">
        <v>54.0</v>
      </c>
      <c r="J43" s="168">
        <v>56.0</v>
      </c>
      <c r="K43" s="3">
        <v>55.0</v>
      </c>
      <c r="L43" s="168">
        <v>57.0</v>
      </c>
      <c r="M43" s="3">
        <v>58.0</v>
      </c>
      <c r="N43" s="168">
        <v>42.0</v>
      </c>
      <c r="O43" s="168">
        <v>44.0</v>
      </c>
      <c r="P43" s="3">
        <v>56.0</v>
      </c>
      <c r="S43" s="3">
        <v>56.0</v>
      </c>
      <c r="AA43" s="204"/>
      <c r="AB43" s="204"/>
      <c r="AC43" s="204"/>
      <c r="AD43" s="204"/>
      <c r="AE43" s="204"/>
    </row>
    <row r="44">
      <c r="B44" s="209"/>
      <c r="C44" s="172"/>
      <c r="D44" s="75"/>
      <c r="E44" s="75"/>
      <c r="F44" s="168">
        <v>1.0</v>
      </c>
      <c r="G44" s="168">
        <v>1.0</v>
      </c>
      <c r="H44" s="168">
        <v>1.0</v>
      </c>
      <c r="I44" s="181">
        <v>1.0</v>
      </c>
      <c r="J44" s="168">
        <v>2.0</v>
      </c>
      <c r="K44" s="3">
        <v>1.0</v>
      </c>
      <c r="L44" s="168">
        <v>4.0</v>
      </c>
      <c r="M44" s="3">
        <v>1.0</v>
      </c>
      <c r="N44" s="168">
        <v>17.0</v>
      </c>
      <c r="O44" s="168">
        <v>14.0</v>
      </c>
      <c r="P44" s="3">
        <v>1.0</v>
      </c>
      <c r="S44" s="3">
        <v>1.0</v>
      </c>
      <c r="AA44" s="204"/>
      <c r="AB44" s="204"/>
      <c r="AC44" s="204"/>
      <c r="AD44" s="204"/>
      <c r="AE44" s="204"/>
    </row>
    <row r="45">
      <c r="B45" s="209" t="s">
        <v>49</v>
      </c>
      <c r="C45" s="101">
        <v>8.0</v>
      </c>
      <c r="D45" s="75"/>
      <c r="E45" s="75"/>
      <c r="F45" s="168"/>
      <c r="G45" s="168">
        <v>55.5</v>
      </c>
      <c r="H45" s="168">
        <v>57.5</v>
      </c>
      <c r="I45" s="201">
        <v>58.0</v>
      </c>
      <c r="K45" s="168">
        <v>60.0</v>
      </c>
      <c r="L45" s="168">
        <v>59.0</v>
      </c>
      <c r="M45" s="108">
        <v>57.5</v>
      </c>
      <c r="P45" s="3">
        <v>60.0</v>
      </c>
      <c r="S45" s="3">
        <v>60.0</v>
      </c>
      <c r="AA45" s="204"/>
      <c r="AB45" s="204"/>
      <c r="AC45" s="204"/>
      <c r="AD45" s="204"/>
      <c r="AE45" s="204"/>
    </row>
    <row r="46">
      <c r="B46" s="209"/>
      <c r="C46" s="172"/>
      <c r="D46" s="75"/>
      <c r="E46" s="75"/>
      <c r="F46" s="168"/>
      <c r="G46" s="168">
        <v>1.0</v>
      </c>
      <c r="H46" s="168">
        <v>1.0</v>
      </c>
      <c r="I46" s="201">
        <v>1.0</v>
      </c>
      <c r="K46" s="168">
        <v>1.0</v>
      </c>
      <c r="L46" s="168">
        <v>2.0</v>
      </c>
      <c r="M46" s="108">
        <v>1.0</v>
      </c>
      <c r="P46" s="3">
        <v>1.0</v>
      </c>
      <c r="S46" s="3">
        <v>1.0</v>
      </c>
      <c r="AA46" s="204"/>
      <c r="AB46" s="204"/>
      <c r="AC46" s="204"/>
      <c r="AD46" s="204"/>
      <c r="AE46" s="204"/>
    </row>
    <row r="47">
      <c r="A47" s="75"/>
      <c r="B47" s="209" t="s">
        <v>49</v>
      </c>
      <c r="C47" s="101">
        <v>8.0</v>
      </c>
      <c r="D47" s="75"/>
      <c r="E47" s="75"/>
      <c r="F47" s="75"/>
      <c r="G47" s="182">
        <v>56.0</v>
      </c>
      <c r="H47" s="75"/>
      <c r="I47" s="202">
        <v>59.0</v>
      </c>
      <c r="J47" s="75"/>
      <c r="K47" s="182">
        <v>61.0</v>
      </c>
      <c r="L47" s="182">
        <v>46.0</v>
      </c>
      <c r="M47" s="168">
        <v>42.0</v>
      </c>
      <c r="N47" s="75"/>
      <c r="O47" s="75"/>
      <c r="P47" s="182">
        <v>62.0</v>
      </c>
      <c r="Q47" s="75"/>
      <c r="R47" s="75"/>
      <c r="S47" s="108">
        <v>62.0</v>
      </c>
      <c r="T47" s="75"/>
      <c r="U47" s="75"/>
      <c r="V47" s="75"/>
      <c r="W47" s="75"/>
      <c r="X47" s="75"/>
      <c r="Y47" s="75"/>
      <c r="Z47" s="75"/>
      <c r="AA47" s="75"/>
      <c r="AB47" s="75"/>
      <c r="AC47" s="75"/>
      <c r="AD47" s="75"/>
      <c r="AE47" s="75"/>
      <c r="AF47" s="75"/>
      <c r="AG47" s="75"/>
      <c r="AH47" s="75"/>
      <c r="AI47" s="75"/>
      <c r="AJ47" s="75"/>
      <c r="AK47" s="75"/>
      <c r="AL47" s="75"/>
    </row>
    <row r="48">
      <c r="A48" s="75"/>
      <c r="B48" s="210"/>
      <c r="C48" s="195"/>
      <c r="D48" s="198"/>
      <c r="E48" s="198"/>
      <c r="F48" s="198"/>
      <c r="G48" s="196">
        <v>1.0</v>
      </c>
      <c r="H48" s="198"/>
      <c r="I48" s="203">
        <v>1.0</v>
      </c>
      <c r="J48" s="75"/>
      <c r="K48" s="182">
        <v>1.0</v>
      </c>
      <c r="L48" s="182">
        <v>12.0</v>
      </c>
      <c r="M48" s="168">
        <v>16.0</v>
      </c>
      <c r="N48" s="75"/>
      <c r="O48" s="75"/>
      <c r="P48" s="182">
        <v>1.0</v>
      </c>
      <c r="Q48" s="75"/>
      <c r="R48" s="75"/>
      <c r="S48" s="108">
        <v>1.0</v>
      </c>
      <c r="T48" s="75"/>
      <c r="U48" s="75"/>
      <c r="V48" s="75"/>
      <c r="W48" s="75"/>
      <c r="X48" s="75"/>
      <c r="Y48" s="75"/>
      <c r="Z48" s="75"/>
      <c r="AA48" s="75"/>
      <c r="AB48" s="75"/>
      <c r="AC48" s="75"/>
      <c r="AD48" s="75"/>
      <c r="AE48" s="75"/>
      <c r="AF48" s="75"/>
      <c r="AG48" s="75"/>
      <c r="AH48" s="75"/>
      <c r="AI48" s="75"/>
      <c r="AJ48" s="75"/>
      <c r="AK48" s="75"/>
      <c r="AL48" s="75"/>
    </row>
    <row r="49">
      <c r="B49" s="209" t="s">
        <v>49</v>
      </c>
      <c r="C49" s="101">
        <v>8.0</v>
      </c>
      <c r="D49" s="75"/>
      <c r="E49" s="75"/>
      <c r="I49" s="168"/>
      <c r="K49" s="208">
        <v>53.0</v>
      </c>
      <c r="M49" s="168">
        <v>47.0</v>
      </c>
      <c r="P49" s="183">
        <v>63.0</v>
      </c>
      <c r="S49" s="168">
        <v>54.0</v>
      </c>
      <c r="AJ49" s="172"/>
      <c r="AK49" s="172"/>
      <c r="AL49" s="172"/>
    </row>
    <row r="50">
      <c r="B50" s="210"/>
      <c r="C50" s="195"/>
      <c r="D50" s="75"/>
      <c r="E50" s="75"/>
      <c r="I50" s="168"/>
      <c r="K50" s="208">
        <v>6.0</v>
      </c>
      <c r="M50" s="168">
        <v>8.0</v>
      </c>
      <c r="P50" s="183">
        <v>1.0</v>
      </c>
      <c r="S50" s="168">
        <v>6.0</v>
      </c>
      <c r="AJ50" s="172"/>
      <c r="AK50" s="172"/>
      <c r="AL50" s="172"/>
    </row>
    <row r="51">
      <c r="B51" s="180" t="s">
        <v>229</v>
      </c>
      <c r="C51" s="101">
        <v>8.0</v>
      </c>
      <c r="D51" s="75"/>
      <c r="E51" s="75"/>
      <c r="I51" s="168"/>
      <c r="P51" s="168"/>
      <c r="T51" s="168">
        <v>30.0</v>
      </c>
      <c r="V51" s="168">
        <v>30.0</v>
      </c>
      <c r="AJ51" s="172"/>
      <c r="AK51" s="172"/>
      <c r="AL51" s="172"/>
    </row>
    <row r="52">
      <c r="B52" s="180"/>
      <c r="C52" s="101"/>
      <c r="D52" s="75"/>
      <c r="E52" s="75"/>
      <c r="I52" s="168"/>
      <c r="P52" s="168"/>
      <c r="T52" s="168">
        <v>6.0</v>
      </c>
      <c r="V52" s="168">
        <v>8.0</v>
      </c>
      <c r="AJ52" s="172"/>
      <c r="AK52" s="172"/>
      <c r="AL52" s="172"/>
    </row>
    <row r="53">
      <c r="B53" s="180" t="s">
        <v>229</v>
      </c>
      <c r="C53" s="101">
        <v>8.0</v>
      </c>
      <c r="D53" s="75"/>
      <c r="E53" s="75"/>
      <c r="I53" s="168"/>
      <c r="P53" s="168"/>
      <c r="T53" s="168">
        <v>40.0</v>
      </c>
      <c r="V53" s="3">
        <v>40.0</v>
      </c>
      <c r="AJ53" s="172"/>
      <c r="AK53" s="172"/>
      <c r="AL53" s="172"/>
    </row>
    <row r="54">
      <c r="B54" s="180"/>
      <c r="C54" s="101"/>
      <c r="D54" s="75"/>
      <c r="E54" s="75"/>
      <c r="I54" s="168"/>
      <c r="P54" s="168"/>
      <c r="T54" s="168">
        <v>3.0</v>
      </c>
      <c r="V54" s="3">
        <v>3.0</v>
      </c>
      <c r="AJ54" s="172"/>
      <c r="AK54" s="172"/>
      <c r="AL54" s="172"/>
    </row>
    <row r="55">
      <c r="B55" s="180" t="s">
        <v>229</v>
      </c>
      <c r="C55" s="101">
        <v>8.0</v>
      </c>
      <c r="D55" s="75"/>
      <c r="E55" s="75"/>
      <c r="I55" s="168"/>
      <c r="P55" s="168"/>
      <c r="T55" s="168">
        <v>44.0</v>
      </c>
      <c r="V55" s="3">
        <v>50.0</v>
      </c>
      <c r="AJ55" s="172"/>
      <c r="AK55" s="172"/>
      <c r="AL55" s="172"/>
    </row>
    <row r="56">
      <c r="B56" s="180"/>
      <c r="C56" s="101"/>
      <c r="D56" s="75"/>
      <c r="E56" s="75"/>
      <c r="I56" s="168"/>
      <c r="P56" s="168"/>
      <c r="T56" s="168">
        <v>2.0</v>
      </c>
      <c r="V56" s="3">
        <v>1.0</v>
      </c>
      <c r="AJ56" s="172"/>
      <c r="AK56" s="172"/>
      <c r="AL56" s="172"/>
    </row>
    <row r="57">
      <c r="B57" s="180" t="s">
        <v>229</v>
      </c>
      <c r="C57" s="101">
        <v>8.0</v>
      </c>
      <c r="D57" s="75"/>
      <c r="E57" s="75"/>
      <c r="I57" s="168"/>
      <c r="P57" s="168"/>
      <c r="T57" s="168">
        <v>48.0</v>
      </c>
      <c r="V57" s="3">
        <v>54.0</v>
      </c>
      <c r="AJ57" s="172"/>
      <c r="AK57" s="172"/>
      <c r="AL57" s="172"/>
    </row>
    <row r="58">
      <c r="B58" s="180"/>
      <c r="C58" s="101"/>
      <c r="D58" s="75"/>
      <c r="E58" s="75"/>
      <c r="I58" s="168"/>
      <c r="P58" s="168"/>
      <c r="T58" s="168">
        <v>1.0</v>
      </c>
      <c r="V58" s="3">
        <v>1.0</v>
      </c>
      <c r="AJ58" s="172"/>
      <c r="AK58" s="172"/>
      <c r="AL58" s="172"/>
    </row>
    <row r="59">
      <c r="B59" s="180" t="s">
        <v>229</v>
      </c>
      <c r="C59" s="101">
        <v>8.0</v>
      </c>
      <c r="D59" s="75"/>
      <c r="E59" s="75"/>
      <c r="I59" s="168"/>
      <c r="P59" s="168"/>
      <c r="T59" s="168">
        <v>50.0</v>
      </c>
      <c r="V59" s="183">
        <v>58.0</v>
      </c>
      <c r="AJ59" s="172"/>
      <c r="AK59" s="172"/>
      <c r="AL59" s="172"/>
    </row>
    <row r="60">
      <c r="B60" s="180"/>
      <c r="C60" s="101"/>
      <c r="D60" s="75"/>
      <c r="E60" s="75"/>
      <c r="I60" s="168"/>
      <c r="P60" s="168"/>
      <c r="T60" s="168">
        <v>1.0</v>
      </c>
      <c r="V60" s="183">
        <v>1.0</v>
      </c>
      <c r="AJ60" s="172"/>
      <c r="AK60" s="172"/>
      <c r="AL60" s="172"/>
    </row>
    <row r="61">
      <c r="B61" s="180" t="s">
        <v>229</v>
      </c>
      <c r="C61" s="101">
        <v>8.0</v>
      </c>
      <c r="D61" s="75"/>
      <c r="E61" s="75"/>
      <c r="I61" s="168"/>
      <c r="P61" s="168"/>
      <c r="T61" s="168">
        <v>52.0</v>
      </c>
      <c r="V61" s="183">
        <v>60.0</v>
      </c>
      <c r="AJ61" s="172"/>
      <c r="AK61" s="172"/>
      <c r="AL61" s="172"/>
    </row>
    <row r="62">
      <c r="B62" s="180"/>
      <c r="C62" s="101"/>
      <c r="D62" s="75"/>
      <c r="E62" s="75"/>
      <c r="I62" s="168"/>
      <c r="P62" s="168"/>
      <c r="T62" s="168">
        <v>1.0</v>
      </c>
      <c r="V62" s="183">
        <v>1.0</v>
      </c>
      <c r="AJ62" s="172"/>
      <c r="AK62" s="172"/>
      <c r="AL62" s="172"/>
    </row>
    <row r="63">
      <c r="B63" s="180" t="s">
        <v>229</v>
      </c>
      <c r="C63" s="101">
        <v>8.0</v>
      </c>
      <c r="D63" s="75"/>
      <c r="E63" s="75"/>
      <c r="I63" s="168"/>
      <c r="P63" s="168"/>
      <c r="T63" s="168">
        <v>54.0</v>
      </c>
      <c r="AJ63" s="172"/>
      <c r="AK63" s="172"/>
      <c r="AL63" s="172"/>
    </row>
    <row r="64">
      <c r="B64" s="180"/>
      <c r="C64" s="101"/>
      <c r="D64" s="75"/>
      <c r="E64" s="75"/>
      <c r="I64" s="168"/>
      <c r="P64" s="168"/>
      <c r="T64" s="168">
        <v>1.0</v>
      </c>
      <c r="AJ64" s="172"/>
      <c r="AK64" s="172"/>
      <c r="AL64" s="172"/>
    </row>
    <row r="65">
      <c r="B65" s="180" t="s">
        <v>229</v>
      </c>
      <c r="C65" s="101">
        <v>8.0</v>
      </c>
      <c r="D65" s="75"/>
      <c r="E65" s="75"/>
      <c r="I65" s="168"/>
      <c r="P65" s="168"/>
      <c r="T65" s="183">
        <v>56.0</v>
      </c>
      <c r="AJ65" s="172"/>
      <c r="AK65" s="172"/>
      <c r="AL65" s="172"/>
    </row>
    <row r="66">
      <c r="B66" s="180"/>
      <c r="C66" s="101"/>
      <c r="D66" s="75"/>
      <c r="E66" s="75"/>
      <c r="I66" s="168"/>
      <c r="P66" s="168"/>
      <c r="T66" s="183">
        <v>1.0</v>
      </c>
      <c r="AJ66" s="172"/>
      <c r="AK66" s="172"/>
      <c r="AL66" s="172"/>
    </row>
    <row r="67">
      <c r="B67" s="173" t="s">
        <v>203</v>
      </c>
      <c r="C67" s="174">
        <v>8.0</v>
      </c>
      <c r="D67" s="207"/>
      <c r="E67" s="207"/>
      <c r="F67" s="211"/>
      <c r="G67" s="211"/>
      <c r="H67" s="211"/>
      <c r="I67" s="199">
        <v>30.0</v>
      </c>
      <c r="J67" s="211"/>
      <c r="K67" s="211"/>
      <c r="L67" s="211"/>
      <c r="M67" s="211"/>
      <c r="N67" s="211"/>
      <c r="O67" s="211"/>
      <c r="P67" s="199">
        <v>30.0</v>
      </c>
      <c r="Q67" s="211"/>
      <c r="R67" s="211"/>
      <c r="S67" s="211"/>
      <c r="T67" s="168">
        <v>52.0</v>
      </c>
      <c r="U67" s="168">
        <v>30.0</v>
      </c>
      <c r="V67" s="183">
        <v>57.0</v>
      </c>
      <c r="W67" s="211"/>
      <c r="X67" s="211"/>
      <c r="Y67" s="211"/>
      <c r="Z67" s="211"/>
      <c r="AA67" s="211"/>
      <c r="AB67" s="211"/>
      <c r="AC67" s="177"/>
      <c r="AJ67" s="172"/>
      <c r="AK67" s="172"/>
      <c r="AL67" s="172"/>
    </row>
    <row r="68">
      <c r="B68" s="194"/>
      <c r="C68" s="195"/>
      <c r="D68" s="198"/>
      <c r="E68" s="198"/>
      <c r="F68" s="205"/>
      <c r="G68" s="205"/>
      <c r="H68" s="205"/>
      <c r="I68" s="197">
        <v>3.0</v>
      </c>
      <c r="J68" s="205"/>
      <c r="K68" s="205"/>
      <c r="L68" s="205"/>
      <c r="M68" s="205"/>
      <c r="N68" s="205"/>
      <c r="O68" s="205"/>
      <c r="P68" s="197">
        <v>5.0</v>
      </c>
      <c r="Q68" s="205"/>
      <c r="R68" s="205"/>
      <c r="S68" s="205"/>
      <c r="T68" s="168">
        <v>1.0</v>
      </c>
      <c r="U68" s="168">
        <v>6.0</v>
      </c>
      <c r="V68" s="183">
        <v>1.0</v>
      </c>
      <c r="W68" s="205"/>
      <c r="X68" s="205"/>
      <c r="Y68" s="205"/>
      <c r="Z68" s="205"/>
      <c r="AA68" s="205"/>
      <c r="AB68" s="205"/>
      <c r="AC68" s="189"/>
    </row>
    <row r="69">
      <c r="B69" s="173" t="s">
        <v>203</v>
      </c>
      <c r="C69" s="174">
        <v>8.0</v>
      </c>
      <c r="D69" s="75"/>
      <c r="E69" s="75"/>
      <c r="I69" s="168"/>
      <c r="P69" s="168">
        <v>40.0</v>
      </c>
      <c r="U69" s="168">
        <v>40.0</v>
      </c>
      <c r="V69" s="183">
        <v>58.0</v>
      </c>
    </row>
    <row r="70">
      <c r="B70" s="172"/>
      <c r="C70" s="172"/>
      <c r="D70" s="75"/>
      <c r="E70" s="75"/>
      <c r="I70" s="168"/>
      <c r="P70" s="168">
        <v>3.0</v>
      </c>
      <c r="U70" s="168">
        <v>4.0</v>
      </c>
      <c r="V70" s="183">
        <v>1.0</v>
      </c>
    </row>
    <row r="71">
      <c r="B71" s="173" t="s">
        <v>203</v>
      </c>
      <c r="C71" s="174">
        <v>8.0</v>
      </c>
      <c r="D71" s="75"/>
      <c r="E71" s="75"/>
      <c r="I71" s="168"/>
      <c r="P71" s="168">
        <v>44.0</v>
      </c>
      <c r="U71" s="3">
        <v>50.0</v>
      </c>
    </row>
    <row r="72">
      <c r="B72" s="172"/>
      <c r="C72" s="172"/>
      <c r="D72" s="75"/>
      <c r="E72" s="75"/>
      <c r="I72" s="168"/>
      <c r="P72" s="168">
        <v>1.0</v>
      </c>
      <c r="U72" s="3">
        <v>1.0</v>
      </c>
    </row>
    <row r="73">
      <c r="B73" s="173" t="s">
        <v>203</v>
      </c>
      <c r="C73" s="174">
        <v>8.0</v>
      </c>
      <c r="D73" s="75"/>
      <c r="E73" s="75"/>
      <c r="I73" s="168"/>
      <c r="P73" s="168">
        <v>48.0</v>
      </c>
      <c r="U73" s="168">
        <v>53.0</v>
      </c>
    </row>
    <row r="74">
      <c r="B74" s="172"/>
      <c r="C74" s="172"/>
      <c r="D74" s="75"/>
      <c r="E74" s="75"/>
      <c r="I74" s="168"/>
      <c r="P74" s="168">
        <v>1.0</v>
      </c>
      <c r="U74" s="168">
        <v>1.0</v>
      </c>
    </row>
    <row r="75">
      <c r="B75" s="173" t="s">
        <v>203</v>
      </c>
      <c r="C75" s="174">
        <v>8.0</v>
      </c>
      <c r="D75" s="75"/>
      <c r="E75" s="75"/>
      <c r="I75" s="168"/>
      <c r="P75" s="168">
        <v>50.0</v>
      </c>
      <c r="U75" s="168">
        <v>54.0</v>
      </c>
    </row>
    <row r="76">
      <c r="B76" s="172"/>
      <c r="C76" s="172"/>
      <c r="D76" s="75"/>
      <c r="E76" s="75"/>
      <c r="I76" s="168"/>
      <c r="P76" s="168">
        <v>1.0</v>
      </c>
      <c r="U76" s="168">
        <v>1.0</v>
      </c>
    </row>
    <row r="77">
      <c r="B77" s="173" t="s">
        <v>203</v>
      </c>
      <c r="C77" s="174">
        <v>8.0</v>
      </c>
      <c r="D77" s="75"/>
      <c r="E77" s="75"/>
      <c r="I77" s="168"/>
      <c r="P77" s="168">
        <v>51.0</v>
      </c>
      <c r="T77" s="168"/>
      <c r="U77" s="168">
        <v>55.0</v>
      </c>
    </row>
    <row r="78">
      <c r="B78" s="172"/>
      <c r="C78" s="172"/>
      <c r="D78" s="75"/>
      <c r="E78" s="75"/>
      <c r="I78" s="168"/>
      <c r="P78" s="168">
        <v>1.0</v>
      </c>
      <c r="T78" s="168"/>
      <c r="U78" s="168">
        <v>1.0</v>
      </c>
    </row>
    <row r="79">
      <c r="B79" s="173" t="s">
        <v>203</v>
      </c>
      <c r="C79" s="174">
        <v>8.0</v>
      </c>
      <c r="D79" s="75"/>
      <c r="E79" s="75"/>
      <c r="I79" s="168"/>
      <c r="P79" s="168"/>
      <c r="T79" s="168"/>
      <c r="U79" s="183">
        <v>55.5</v>
      </c>
    </row>
    <row r="80">
      <c r="B80" s="172"/>
      <c r="C80" s="172"/>
      <c r="D80" s="75"/>
      <c r="E80" s="75"/>
      <c r="I80" s="168"/>
      <c r="P80" s="168"/>
      <c r="T80" s="168"/>
      <c r="U80" s="183">
        <v>1.0</v>
      </c>
    </row>
    <row r="81">
      <c r="B81" s="173" t="s">
        <v>203</v>
      </c>
      <c r="C81" s="174">
        <v>8.0</v>
      </c>
      <c r="D81" s="75"/>
      <c r="E81" s="75"/>
      <c r="I81" s="168"/>
      <c r="P81" s="168"/>
      <c r="T81" s="168"/>
      <c r="U81" s="183">
        <v>56.0</v>
      </c>
    </row>
    <row r="82">
      <c r="B82" s="172"/>
      <c r="C82" s="172"/>
      <c r="D82" s="75"/>
      <c r="E82" s="75"/>
      <c r="I82" s="168"/>
      <c r="P82" s="168"/>
      <c r="T82" s="168"/>
      <c r="U82" s="183">
        <v>1.0</v>
      </c>
    </row>
    <row r="83">
      <c r="B83" s="101" t="s">
        <v>168</v>
      </c>
      <c r="C83" s="101">
        <v>8.0</v>
      </c>
      <c r="D83" s="75"/>
      <c r="E83" s="75"/>
      <c r="I83" s="168">
        <v>30.0</v>
      </c>
      <c r="J83" s="168">
        <v>34.0</v>
      </c>
      <c r="K83" s="3">
        <v>30.0</v>
      </c>
      <c r="L83" s="3">
        <v>30.0</v>
      </c>
      <c r="Q83" s="168">
        <v>41.0</v>
      </c>
      <c r="R83" s="3">
        <v>40.0</v>
      </c>
      <c r="T83" s="176">
        <v>40.0</v>
      </c>
      <c r="V83" s="3">
        <v>40.0</v>
      </c>
    </row>
    <row r="84">
      <c r="B84" s="172"/>
      <c r="C84" s="172"/>
      <c r="D84" s="75"/>
      <c r="E84" s="75"/>
      <c r="I84" s="168">
        <v>3.0</v>
      </c>
      <c r="J84" s="168">
        <v>5.0</v>
      </c>
      <c r="K84" s="3">
        <v>3.0</v>
      </c>
      <c r="L84" s="3">
        <v>3.0</v>
      </c>
      <c r="Q84" s="168">
        <v>8.0</v>
      </c>
      <c r="R84" s="3">
        <v>4.0</v>
      </c>
      <c r="T84" s="187">
        <v>6.0</v>
      </c>
      <c r="V84" s="3">
        <v>3.0</v>
      </c>
    </row>
    <row r="85">
      <c r="B85" s="101" t="s">
        <v>168</v>
      </c>
      <c r="C85" s="101">
        <v>8.0</v>
      </c>
      <c r="D85" s="75"/>
      <c r="E85" s="75"/>
      <c r="I85" s="168">
        <v>34.0</v>
      </c>
      <c r="J85" s="168">
        <v>38.0</v>
      </c>
      <c r="K85" s="3">
        <v>40.0</v>
      </c>
      <c r="L85" s="3">
        <v>40.0</v>
      </c>
      <c r="Q85" s="168">
        <v>45.0</v>
      </c>
      <c r="R85" s="168">
        <v>50.0</v>
      </c>
      <c r="T85" s="3">
        <v>40.0</v>
      </c>
      <c r="V85" s="3">
        <v>44.0</v>
      </c>
    </row>
    <row r="86">
      <c r="B86" s="172"/>
      <c r="C86" s="172"/>
      <c r="D86" s="75"/>
      <c r="E86" s="75"/>
      <c r="I86" s="168">
        <v>3.0</v>
      </c>
      <c r="J86" s="168">
        <v>4.0</v>
      </c>
      <c r="K86" s="3">
        <v>3.0</v>
      </c>
      <c r="L86" s="3">
        <v>3.0</v>
      </c>
      <c r="Q86" s="168">
        <v>5.0</v>
      </c>
      <c r="R86" s="168">
        <v>2.0</v>
      </c>
      <c r="T86" s="3">
        <v>6.0</v>
      </c>
      <c r="V86" s="3">
        <v>3.0</v>
      </c>
    </row>
    <row r="87">
      <c r="B87" s="101" t="s">
        <v>168</v>
      </c>
      <c r="C87" s="101">
        <v>8.0</v>
      </c>
      <c r="D87" s="75"/>
      <c r="E87" s="75"/>
      <c r="I87" s="168">
        <v>38.0</v>
      </c>
      <c r="J87" s="168">
        <v>40.0</v>
      </c>
      <c r="K87" s="168">
        <v>47.0</v>
      </c>
      <c r="L87" s="168">
        <v>49.0</v>
      </c>
      <c r="Q87" s="168">
        <v>49.0</v>
      </c>
      <c r="R87" s="183">
        <v>52.0</v>
      </c>
      <c r="T87" s="3">
        <v>40.0</v>
      </c>
      <c r="V87" s="3">
        <v>48.0</v>
      </c>
    </row>
    <row r="88">
      <c r="B88" s="172"/>
      <c r="C88" s="172"/>
      <c r="D88" s="75"/>
      <c r="E88" s="75"/>
      <c r="I88" s="168">
        <v>3.0</v>
      </c>
      <c r="J88" s="168">
        <v>5.0</v>
      </c>
      <c r="K88" s="168">
        <v>1.0</v>
      </c>
      <c r="L88" s="168">
        <v>1.0</v>
      </c>
      <c r="Q88" s="168">
        <v>2.0</v>
      </c>
      <c r="R88" s="183">
        <v>1.0</v>
      </c>
      <c r="T88" s="3">
        <v>6.0</v>
      </c>
      <c r="V88" s="3">
        <v>5.0</v>
      </c>
    </row>
    <row r="89">
      <c r="B89" s="101" t="s">
        <v>168</v>
      </c>
      <c r="C89" s="101">
        <v>8.0</v>
      </c>
      <c r="D89" s="75"/>
      <c r="E89" s="75"/>
      <c r="I89" s="168"/>
      <c r="J89" s="168">
        <v>42.0</v>
      </c>
      <c r="K89" s="168">
        <v>48.0</v>
      </c>
      <c r="L89" s="168">
        <v>40.0</v>
      </c>
      <c r="Q89" s="183">
        <v>51.0</v>
      </c>
      <c r="R89" s="183">
        <v>53.0</v>
      </c>
      <c r="V89" s="183">
        <v>54.0</v>
      </c>
    </row>
    <row r="90">
      <c r="B90" s="172"/>
      <c r="C90" s="172"/>
      <c r="D90" s="75"/>
      <c r="E90" s="75"/>
      <c r="I90" s="168"/>
      <c r="J90" s="168">
        <v>4.0</v>
      </c>
      <c r="K90" s="168">
        <v>1.0</v>
      </c>
      <c r="L90" s="168">
        <v>6.0</v>
      </c>
      <c r="Q90" s="183">
        <v>1.0</v>
      </c>
      <c r="R90" s="183">
        <v>1.0</v>
      </c>
      <c r="V90" s="183">
        <v>1.0</v>
      </c>
    </row>
    <row r="91">
      <c r="B91" s="101" t="s">
        <v>168</v>
      </c>
      <c r="C91" s="101">
        <v>8.0</v>
      </c>
      <c r="D91" s="75"/>
      <c r="E91" s="75"/>
      <c r="I91" s="168"/>
      <c r="J91" s="168">
        <v>44.0</v>
      </c>
      <c r="K91" s="168">
        <v>39.0</v>
      </c>
      <c r="V91" s="183">
        <v>55.0</v>
      </c>
    </row>
    <row r="92">
      <c r="B92" s="172"/>
      <c r="C92" s="172"/>
      <c r="D92" s="75"/>
      <c r="E92" s="75"/>
      <c r="I92" s="168"/>
      <c r="J92" s="168">
        <v>3.0</v>
      </c>
      <c r="K92" s="168">
        <v>10.0</v>
      </c>
      <c r="V92" s="183">
        <v>1.0</v>
      </c>
    </row>
    <row r="93">
      <c r="B93" s="101" t="s">
        <v>168</v>
      </c>
      <c r="C93" s="101">
        <v>8.0</v>
      </c>
      <c r="D93" s="75"/>
      <c r="E93" s="75"/>
      <c r="I93" s="168"/>
      <c r="J93" s="168">
        <v>46.0</v>
      </c>
    </row>
    <row r="94">
      <c r="B94" s="172"/>
      <c r="C94" s="172"/>
      <c r="D94" s="75"/>
      <c r="E94" s="75"/>
      <c r="I94" s="168"/>
      <c r="J94" s="168">
        <v>2.0</v>
      </c>
    </row>
    <row r="95">
      <c r="B95" s="173" t="s">
        <v>163</v>
      </c>
      <c r="C95" s="174">
        <v>8.0</v>
      </c>
      <c r="D95" s="75"/>
      <c r="E95" s="75"/>
      <c r="I95" s="168"/>
      <c r="J95" s="168"/>
      <c r="Q95" s="3">
        <v>70.0</v>
      </c>
      <c r="R95" s="3">
        <v>72.0</v>
      </c>
    </row>
    <row r="96">
      <c r="B96" s="172"/>
      <c r="C96" s="172"/>
      <c r="D96" s="75"/>
      <c r="E96" s="75"/>
      <c r="I96" s="168"/>
      <c r="J96" s="168"/>
      <c r="Q96" s="3">
        <v>3.0</v>
      </c>
      <c r="R96" s="3">
        <v>3.0</v>
      </c>
      <c r="AD96" s="172"/>
      <c r="AE96" s="172"/>
      <c r="AF96" s="172"/>
      <c r="AG96" s="172"/>
      <c r="AH96" s="172"/>
      <c r="AI96" s="172"/>
    </row>
    <row r="97">
      <c r="B97" s="173" t="s">
        <v>163</v>
      </c>
      <c r="C97" s="174">
        <v>8.0</v>
      </c>
      <c r="D97" s="75"/>
      <c r="E97" s="75"/>
      <c r="I97" s="168"/>
      <c r="J97" s="168"/>
      <c r="Q97" s="3">
        <v>70.0</v>
      </c>
      <c r="R97" s="3">
        <v>72.0</v>
      </c>
      <c r="AD97" s="172"/>
      <c r="AE97" s="172"/>
      <c r="AF97" s="172"/>
      <c r="AG97" s="172"/>
      <c r="AH97" s="172"/>
      <c r="AI97" s="172"/>
    </row>
    <row r="98">
      <c r="B98" s="172"/>
      <c r="C98" s="172"/>
      <c r="D98" s="75"/>
      <c r="E98" s="75"/>
      <c r="I98" s="168"/>
      <c r="J98" s="168"/>
      <c r="Q98" s="3">
        <v>3.0</v>
      </c>
      <c r="R98" s="3">
        <v>3.0</v>
      </c>
    </row>
    <row r="99">
      <c r="B99" s="173" t="s">
        <v>163</v>
      </c>
      <c r="C99" s="174">
        <v>8.0</v>
      </c>
      <c r="D99" s="75"/>
      <c r="E99" s="75"/>
      <c r="I99" s="168"/>
      <c r="J99" s="168"/>
      <c r="Q99" s="168">
        <v>70.0</v>
      </c>
      <c r="R99" s="3">
        <v>72.0</v>
      </c>
    </row>
    <row r="100">
      <c r="B100" s="172"/>
      <c r="C100" s="172"/>
      <c r="D100" s="75"/>
      <c r="E100" s="75"/>
      <c r="I100" s="168"/>
      <c r="J100" s="168"/>
      <c r="Q100" s="168">
        <v>5.0</v>
      </c>
      <c r="R100" s="3">
        <v>3.0</v>
      </c>
    </row>
    <row r="101">
      <c r="B101" s="166" t="s">
        <v>64</v>
      </c>
      <c r="C101" s="101">
        <v>8.0</v>
      </c>
      <c r="T101" s="168">
        <v>10.0</v>
      </c>
      <c r="U101" s="168">
        <v>20.0</v>
      </c>
    </row>
    <row r="102">
      <c r="B102" s="166"/>
      <c r="C102" s="172"/>
      <c r="T102" s="168">
        <v>3.0</v>
      </c>
      <c r="U102" s="168">
        <v>6.0</v>
      </c>
    </row>
    <row r="103">
      <c r="B103" s="166" t="s">
        <v>64</v>
      </c>
      <c r="C103" s="101">
        <v>8.0</v>
      </c>
      <c r="T103" s="168">
        <v>14.0</v>
      </c>
      <c r="U103" s="3">
        <v>20.0</v>
      </c>
    </row>
    <row r="104">
      <c r="B104" s="166"/>
      <c r="C104" s="172"/>
      <c r="T104" s="168">
        <v>3.0</v>
      </c>
      <c r="U104" s="3">
        <v>6.0</v>
      </c>
    </row>
    <row r="105">
      <c r="B105" s="166" t="s">
        <v>64</v>
      </c>
      <c r="C105" s="101">
        <v>8.0</v>
      </c>
      <c r="T105" s="168">
        <v>18.0</v>
      </c>
      <c r="U105" s="3">
        <v>20.0</v>
      </c>
    </row>
    <row r="106">
      <c r="B106" s="166"/>
      <c r="C106" s="172"/>
      <c r="T106" s="168">
        <v>3.0</v>
      </c>
      <c r="U106" s="3">
        <v>6.0</v>
      </c>
    </row>
    <row r="107">
      <c r="B107" s="166" t="s">
        <v>64</v>
      </c>
      <c r="C107" s="101">
        <v>8.0</v>
      </c>
      <c r="T107" s="168">
        <v>20.0</v>
      </c>
    </row>
    <row r="108">
      <c r="B108" s="166"/>
      <c r="C108" s="172"/>
      <c r="T108" s="168">
        <v>5.0</v>
      </c>
    </row>
    <row r="109">
      <c r="B109" s="166" t="s">
        <v>160</v>
      </c>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c r="AA109" s="172"/>
      <c r="AB109" s="172"/>
      <c r="AC109" s="172"/>
      <c r="AD109" s="172"/>
      <c r="AE109" s="172"/>
    </row>
    <row r="110">
      <c r="B110" s="172"/>
      <c r="C110" s="172"/>
      <c r="D110" s="75"/>
      <c r="E110" s="75"/>
      <c r="F110" s="212" t="s">
        <v>230</v>
      </c>
    </row>
    <row r="111">
      <c r="B111" s="172"/>
      <c r="C111" s="172"/>
      <c r="D111" s="75"/>
      <c r="E111" s="75"/>
      <c r="M111" s="3" t="s">
        <v>231</v>
      </c>
    </row>
    <row r="112">
      <c r="B112" s="172"/>
      <c r="C112" s="172"/>
      <c r="D112" s="75"/>
      <c r="E112" s="75"/>
      <c r="M112" s="3" t="s">
        <v>232</v>
      </c>
    </row>
    <row r="113">
      <c r="B113" s="172"/>
      <c r="C113" s="172"/>
      <c r="D113" s="75"/>
      <c r="E113" s="75"/>
      <c r="M113" s="3" t="s">
        <v>233</v>
      </c>
    </row>
    <row r="114">
      <c r="B114" s="172"/>
      <c r="C114" s="172"/>
      <c r="D114" s="75"/>
      <c r="E114" s="75"/>
      <c r="I114" s="168"/>
      <c r="J114" s="168"/>
    </row>
    <row r="115">
      <c r="B115" s="166"/>
      <c r="C115" s="172"/>
      <c r="D115" s="172"/>
      <c r="E115" s="172"/>
    </row>
    <row r="116">
      <c r="B116" s="172"/>
      <c r="C116" s="172"/>
      <c r="D116" s="75"/>
      <c r="E116" s="75"/>
    </row>
    <row r="117">
      <c r="B117" s="172"/>
      <c r="C117" s="172"/>
      <c r="D117" s="75"/>
      <c r="E117" s="75"/>
    </row>
    <row r="118">
      <c r="B118" s="172"/>
      <c r="C118" s="172"/>
      <c r="D118" s="75"/>
      <c r="E118" s="75"/>
    </row>
    <row r="119">
      <c r="B119" s="172"/>
      <c r="C119" s="172"/>
      <c r="D119" s="75"/>
      <c r="E11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3.38"/>
    <col customWidth="1" min="4" max="5" width="4.25"/>
    <col customWidth="1" min="6" max="6" width="2.88"/>
    <col customWidth="1" min="7" max="7" width="3.63"/>
    <col customWidth="1" min="8" max="8" width="5.13"/>
    <col customWidth="1" min="9" max="9" width="7.13"/>
    <col customWidth="1" min="10" max="10" width="5.13"/>
    <col customWidth="1" min="11" max="11" width="3.75"/>
  </cols>
  <sheetData>
    <row r="1">
      <c r="B1" s="101" t="s">
        <v>234</v>
      </c>
      <c r="D1" s="108" t="s">
        <v>224</v>
      </c>
      <c r="E1" s="108" t="s">
        <v>224</v>
      </c>
      <c r="F1" s="3" t="s">
        <v>224</v>
      </c>
      <c r="G1" s="3" t="s">
        <v>224</v>
      </c>
      <c r="H1" s="3" t="s">
        <v>224</v>
      </c>
      <c r="I1" s="116" t="s">
        <v>224</v>
      </c>
      <c r="J1" s="116"/>
      <c r="K1" s="116" t="s">
        <v>160</v>
      </c>
    </row>
    <row r="2">
      <c r="B2" s="101"/>
      <c r="C2" s="170"/>
      <c r="D2" s="124"/>
      <c r="E2" s="124"/>
      <c r="F2" s="116"/>
      <c r="G2" s="124"/>
    </row>
    <row r="3">
      <c r="B3" s="101"/>
      <c r="C3" s="170"/>
      <c r="D3" s="124">
        <v>45862.0</v>
      </c>
      <c r="E3" s="124">
        <v>45869.0</v>
      </c>
      <c r="F3" s="124">
        <v>45876.0</v>
      </c>
      <c r="G3" s="124">
        <v>45883.0</v>
      </c>
      <c r="H3" s="73">
        <v>45945.0</v>
      </c>
      <c r="I3" s="73">
        <v>45952.0</v>
      </c>
      <c r="J3" s="73">
        <v>45959.0</v>
      </c>
    </row>
    <row r="4">
      <c r="B4" s="101"/>
      <c r="C4" s="101"/>
      <c r="D4" s="3">
        <v>67.0</v>
      </c>
      <c r="E4" s="3">
        <v>66.8</v>
      </c>
      <c r="F4" s="3">
        <v>68.0</v>
      </c>
      <c r="G4" s="3">
        <v>67.9</v>
      </c>
      <c r="H4" s="3">
        <v>68.8</v>
      </c>
      <c r="I4" s="3">
        <v>69.0</v>
      </c>
      <c r="J4" s="3">
        <v>68.6</v>
      </c>
    </row>
    <row r="5">
      <c r="A5" s="3" t="s">
        <v>235</v>
      </c>
      <c r="B5" s="173" t="s">
        <v>236</v>
      </c>
      <c r="C5" s="174"/>
      <c r="D5" s="175">
        <v>0.0</v>
      </c>
      <c r="E5" s="3">
        <v>0.0</v>
      </c>
      <c r="F5" s="3">
        <v>0.0</v>
      </c>
      <c r="G5" s="3">
        <v>0.0</v>
      </c>
    </row>
    <row r="6">
      <c r="B6" s="178"/>
      <c r="C6" s="101"/>
      <c r="D6" s="108">
        <v>8.0</v>
      </c>
      <c r="E6" s="3">
        <v>10.0</v>
      </c>
      <c r="F6" s="3">
        <v>12.0</v>
      </c>
      <c r="G6" s="3">
        <v>12.0</v>
      </c>
    </row>
    <row r="7">
      <c r="A7" s="3"/>
      <c r="B7" s="180" t="s">
        <v>49</v>
      </c>
      <c r="C7" s="101">
        <v>8.0</v>
      </c>
      <c r="D7" s="108"/>
      <c r="E7" s="3"/>
      <c r="F7" s="3"/>
      <c r="G7" s="3"/>
      <c r="H7" s="3"/>
      <c r="I7" s="3"/>
      <c r="J7" s="3">
        <v>40.0</v>
      </c>
      <c r="K7" s="3"/>
    </row>
    <row r="8">
      <c r="A8" s="3"/>
      <c r="B8" s="180"/>
      <c r="C8" s="101"/>
      <c r="D8" s="108"/>
      <c r="E8" s="3"/>
      <c r="F8" s="3"/>
      <c r="G8" s="3"/>
      <c r="H8" s="3"/>
      <c r="I8" s="3"/>
      <c r="J8" s="3">
        <v>5.0</v>
      </c>
      <c r="K8" s="3"/>
    </row>
    <row r="9">
      <c r="A9" s="3" t="s">
        <v>237</v>
      </c>
      <c r="B9" s="180" t="s">
        <v>238</v>
      </c>
      <c r="C9" s="101">
        <v>8.0</v>
      </c>
      <c r="D9" s="108">
        <v>62.0</v>
      </c>
      <c r="E9" s="3">
        <v>62.5</v>
      </c>
      <c r="F9" s="3">
        <v>63.0</v>
      </c>
      <c r="G9" s="3">
        <v>64.0</v>
      </c>
      <c r="H9" s="3">
        <v>60.0</v>
      </c>
      <c r="I9" s="3">
        <v>60.0</v>
      </c>
      <c r="J9" s="181">
        <v>60.0</v>
      </c>
      <c r="K9" s="181">
        <v>60.0</v>
      </c>
    </row>
    <row r="10">
      <c r="B10" s="178"/>
      <c r="C10" s="101"/>
      <c r="D10" s="108">
        <v>1.0</v>
      </c>
      <c r="E10" s="3">
        <v>1.0</v>
      </c>
      <c r="F10" s="3">
        <v>1.0</v>
      </c>
      <c r="G10" s="3">
        <v>1.0</v>
      </c>
      <c r="H10" s="3">
        <v>1.0</v>
      </c>
      <c r="I10" s="3">
        <v>1.0</v>
      </c>
      <c r="J10" s="181">
        <v>1.0</v>
      </c>
      <c r="K10" s="181">
        <v>1.0</v>
      </c>
    </row>
    <row r="11">
      <c r="B11" s="180" t="s">
        <v>238</v>
      </c>
      <c r="C11" s="101">
        <v>8.0</v>
      </c>
      <c r="D11" s="108">
        <v>62.0</v>
      </c>
      <c r="E11" s="3">
        <v>62.5</v>
      </c>
      <c r="F11" s="3">
        <v>63.0</v>
      </c>
      <c r="G11" s="3">
        <v>64.0</v>
      </c>
      <c r="H11" s="3">
        <v>65.0</v>
      </c>
      <c r="I11" s="3">
        <v>66.0</v>
      </c>
      <c r="J11" s="181">
        <v>66.0</v>
      </c>
      <c r="K11" s="181">
        <v>66.0</v>
      </c>
    </row>
    <row r="12">
      <c r="B12" s="178"/>
      <c r="C12" s="101"/>
      <c r="D12" s="108">
        <v>1.0</v>
      </c>
      <c r="E12" s="3">
        <v>1.0</v>
      </c>
      <c r="F12" s="3">
        <v>1.0</v>
      </c>
      <c r="G12" s="3">
        <v>1.0</v>
      </c>
      <c r="H12" s="3">
        <v>1.0</v>
      </c>
      <c r="I12" s="3">
        <v>1.0</v>
      </c>
      <c r="J12" s="3">
        <v>1.0</v>
      </c>
      <c r="K12" s="179"/>
    </row>
    <row r="13">
      <c r="B13" s="180" t="s">
        <v>238</v>
      </c>
      <c r="C13" s="101">
        <v>8.0</v>
      </c>
      <c r="D13" s="182"/>
      <c r="E13" s="3"/>
      <c r="F13" s="3"/>
      <c r="G13" s="3"/>
      <c r="H13" s="3">
        <v>69.0</v>
      </c>
      <c r="I13" s="3">
        <v>70.0</v>
      </c>
      <c r="J13" s="3">
        <v>70.0</v>
      </c>
      <c r="K13" s="181" t="s">
        <v>239</v>
      </c>
    </row>
    <row r="14">
      <c r="B14" s="166"/>
      <c r="C14" s="101"/>
      <c r="D14" s="182"/>
      <c r="E14" s="3"/>
      <c r="F14" s="3"/>
      <c r="G14" s="3"/>
      <c r="H14" s="3">
        <v>1.0</v>
      </c>
      <c r="I14" s="3">
        <v>1.0</v>
      </c>
      <c r="J14" s="3">
        <v>1.0</v>
      </c>
      <c r="K14" s="181"/>
    </row>
    <row r="15">
      <c r="B15" s="166" t="s">
        <v>229</v>
      </c>
      <c r="C15" s="101">
        <v>8.0</v>
      </c>
      <c r="D15" s="182"/>
      <c r="E15" s="3"/>
      <c r="F15" s="3"/>
      <c r="G15" s="3"/>
      <c r="H15" s="3">
        <v>20.0</v>
      </c>
      <c r="I15" s="3"/>
      <c r="J15" s="3"/>
      <c r="K15" s="181"/>
    </row>
    <row r="16">
      <c r="B16" s="166"/>
      <c r="C16" s="101"/>
      <c r="D16" s="182"/>
      <c r="H16" s="3">
        <v>10.0</v>
      </c>
    </row>
    <row r="17">
      <c r="B17" s="180"/>
      <c r="C17" s="101"/>
      <c r="D17" s="108"/>
      <c r="H17" s="3">
        <v>10.0</v>
      </c>
    </row>
    <row r="18">
      <c r="B18" s="184"/>
      <c r="C18" s="185"/>
      <c r="D18" s="186"/>
      <c r="H18" s="3">
        <v>10.0</v>
      </c>
    </row>
    <row r="19">
      <c r="B19" s="173" t="s">
        <v>203</v>
      </c>
      <c r="C19" s="174">
        <v>8.0</v>
      </c>
      <c r="D19" s="175"/>
      <c r="H19" s="3">
        <v>20.0</v>
      </c>
    </row>
    <row r="20">
      <c r="B20" s="178"/>
      <c r="C20" s="101"/>
      <c r="D20" s="108"/>
      <c r="H20" s="3">
        <v>8.0</v>
      </c>
    </row>
    <row r="21">
      <c r="B21" s="180"/>
      <c r="C21" s="101"/>
      <c r="D21" s="108"/>
      <c r="H21" s="3">
        <v>8.0</v>
      </c>
    </row>
    <row r="22">
      <c r="B22" s="178"/>
      <c r="C22" s="172"/>
      <c r="D22" s="108"/>
      <c r="H22" s="3">
        <v>10.0</v>
      </c>
    </row>
    <row r="23">
      <c r="B23" s="166" t="s">
        <v>240</v>
      </c>
      <c r="C23" s="101">
        <v>4.6</v>
      </c>
      <c r="D23" s="108"/>
      <c r="I23" s="3">
        <v>20.0</v>
      </c>
      <c r="J23" s="3">
        <v>20.0</v>
      </c>
    </row>
    <row r="24">
      <c r="B24" s="166"/>
      <c r="C24" s="101"/>
      <c r="D24" s="108"/>
      <c r="I24" s="3">
        <v>6.0</v>
      </c>
      <c r="J24" s="3">
        <v>7.0</v>
      </c>
    </row>
    <row r="25">
      <c r="B25" s="166" t="s">
        <v>240</v>
      </c>
      <c r="C25" s="101">
        <v>4.6</v>
      </c>
      <c r="D25" s="108"/>
      <c r="I25" s="3">
        <v>20.0</v>
      </c>
      <c r="J25" s="3">
        <v>20.0</v>
      </c>
    </row>
    <row r="26">
      <c r="B26" s="166"/>
      <c r="C26" s="101"/>
      <c r="D26" s="108"/>
      <c r="I26" s="3">
        <v>6.0</v>
      </c>
      <c r="J26" s="3">
        <v>7.0</v>
      </c>
    </row>
    <row r="27">
      <c r="B27" s="166" t="s">
        <v>240</v>
      </c>
      <c r="C27" s="101">
        <v>4.6</v>
      </c>
      <c r="D27" s="108"/>
      <c r="I27" s="3">
        <v>20.0</v>
      </c>
      <c r="J27" s="3">
        <v>20.0</v>
      </c>
    </row>
    <row r="28">
      <c r="B28" s="166"/>
      <c r="C28" s="101"/>
      <c r="D28" s="108"/>
      <c r="I28" s="3">
        <v>6.0</v>
      </c>
      <c r="J28" s="3">
        <v>7.0</v>
      </c>
    </row>
    <row r="29">
      <c r="B29" s="166" t="s">
        <v>167</v>
      </c>
      <c r="C29" s="101"/>
      <c r="D29" s="108"/>
      <c r="I29" s="96" t="s">
        <v>143</v>
      </c>
      <c r="J29" s="96" t="s">
        <v>143</v>
      </c>
    </row>
    <row r="30">
      <c r="B30" s="166"/>
      <c r="C30" s="101"/>
      <c r="D30" s="108"/>
      <c r="I30" s="3">
        <v>12.0</v>
      </c>
      <c r="J30" s="3">
        <v>12.0</v>
      </c>
    </row>
    <row r="31">
      <c r="B31" s="166" t="s">
        <v>167</v>
      </c>
      <c r="C31" s="101"/>
      <c r="D31" s="108"/>
      <c r="I31" s="96" t="s">
        <v>143</v>
      </c>
      <c r="J31" s="96" t="s">
        <v>143</v>
      </c>
    </row>
    <row r="32">
      <c r="B32" s="166"/>
      <c r="C32" s="101"/>
      <c r="D32" s="108"/>
      <c r="I32" s="3">
        <v>12.0</v>
      </c>
      <c r="J32" s="3">
        <v>12.0</v>
      </c>
    </row>
    <row r="33">
      <c r="B33" s="166" t="s">
        <v>167</v>
      </c>
      <c r="C33" s="101"/>
      <c r="D33" s="108"/>
      <c r="I33" s="96" t="s">
        <v>143</v>
      </c>
      <c r="J33" s="96" t="s">
        <v>143</v>
      </c>
    </row>
    <row r="34">
      <c r="B34" s="166"/>
      <c r="C34" s="101"/>
      <c r="D34" s="108"/>
      <c r="I34" s="3">
        <v>12.0</v>
      </c>
      <c r="J34" s="3">
        <v>12.0</v>
      </c>
    </row>
    <row r="35">
      <c r="B35" s="166" t="s">
        <v>160</v>
      </c>
      <c r="C35" s="101"/>
      <c r="D35" s="108"/>
    </row>
    <row r="36">
      <c r="B36" s="178"/>
      <c r="C36" s="172"/>
      <c r="D36" s="108"/>
    </row>
    <row r="37">
      <c r="B37" s="180"/>
      <c r="C37" s="101"/>
      <c r="D37" s="108"/>
    </row>
    <row r="38">
      <c r="B38" s="178"/>
      <c r="C38" s="172"/>
      <c r="D38" s="108"/>
    </row>
    <row r="39">
      <c r="B39" s="180"/>
      <c r="C39" s="101"/>
      <c r="D39" s="182"/>
    </row>
    <row r="40">
      <c r="B40" s="194"/>
      <c r="C40" s="195"/>
      <c r="D40" s="196"/>
    </row>
    <row r="41">
      <c r="B41" s="173"/>
      <c r="C41" s="174"/>
      <c r="D41" s="175"/>
    </row>
    <row r="42">
      <c r="C42" s="172"/>
      <c r="D42" s="10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7" width="4.25"/>
  </cols>
  <sheetData>
    <row r="1">
      <c r="A1" s="3" t="s">
        <v>224</v>
      </c>
      <c r="B1" s="101" t="s">
        <v>241</v>
      </c>
      <c r="D1" s="108"/>
      <c r="E1" s="116"/>
      <c r="F1" s="116"/>
      <c r="G1" s="116" t="s">
        <v>160</v>
      </c>
    </row>
    <row r="2">
      <c r="B2" s="101"/>
      <c r="C2" s="170"/>
      <c r="D2" s="124"/>
      <c r="E2" s="124"/>
      <c r="F2" s="124"/>
      <c r="G2" s="124"/>
    </row>
    <row r="3">
      <c r="B3" s="101"/>
      <c r="C3" s="170"/>
      <c r="D3" s="124">
        <v>45924.0</v>
      </c>
      <c r="E3" s="124">
        <v>45931.0</v>
      </c>
      <c r="F3" s="124">
        <v>45938.0</v>
      </c>
      <c r="G3" s="124"/>
    </row>
    <row r="4">
      <c r="B4" s="101"/>
      <c r="C4" s="101"/>
      <c r="D4" s="3">
        <v>66.3</v>
      </c>
      <c r="E4" s="3">
        <v>66.5</v>
      </c>
      <c r="F4" s="3">
        <v>66.9</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c r="F11" s="3"/>
      <c r="G11" s="3"/>
    </row>
    <row r="12">
      <c r="B12" s="178"/>
      <c r="C12" s="101"/>
      <c r="D12" s="182">
        <v>10.0</v>
      </c>
    </row>
    <row r="13">
      <c r="B13" s="180"/>
      <c r="C13" s="101"/>
      <c r="D13" s="108"/>
      <c r="E13" s="3"/>
      <c r="F13" s="3"/>
    </row>
    <row r="14">
      <c r="B14" s="180"/>
      <c r="C14" s="101"/>
      <c r="D14" s="108"/>
      <c r="E14" s="3"/>
      <c r="F14" s="3"/>
    </row>
    <row r="15">
      <c r="B15" s="180"/>
      <c r="C15" s="101"/>
      <c r="D15" s="108"/>
      <c r="E15" s="3"/>
      <c r="F15" s="3"/>
    </row>
    <row r="16">
      <c r="B16" s="180"/>
      <c r="C16" s="101"/>
      <c r="D16" s="108"/>
      <c r="E16" s="3"/>
      <c r="F16" s="3"/>
    </row>
    <row r="17">
      <c r="B17" s="180" t="s">
        <v>238</v>
      </c>
      <c r="C17" s="101">
        <v>8.0</v>
      </c>
      <c r="D17" s="108">
        <v>60.0</v>
      </c>
      <c r="E17" s="3">
        <v>60.0</v>
      </c>
      <c r="F17" s="3">
        <v>60.0</v>
      </c>
    </row>
    <row r="18">
      <c r="B18" s="184"/>
      <c r="C18" s="185"/>
      <c r="D18" s="186">
        <v>1.0</v>
      </c>
      <c r="E18" s="3">
        <v>1.0</v>
      </c>
      <c r="F18" s="3">
        <v>1.0</v>
      </c>
    </row>
    <row r="19">
      <c r="B19" s="180" t="s">
        <v>238</v>
      </c>
      <c r="C19" s="101">
        <v>8.0</v>
      </c>
      <c r="D19" s="175">
        <v>62.0</v>
      </c>
      <c r="E19" s="3">
        <v>64.0</v>
      </c>
      <c r="F19" s="3">
        <v>64.0</v>
      </c>
    </row>
    <row r="20">
      <c r="B20" s="184"/>
      <c r="C20" s="185"/>
      <c r="D20" s="108">
        <v>1.0</v>
      </c>
      <c r="E20" s="3">
        <v>1.0</v>
      </c>
      <c r="F20" s="3">
        <v>1.0</v>
      </c>
    </row>
    <row r="21">
      <c r="B21" s="180" t="s">
        <v>238</v>
      </c>
      <c r="C21" s="101">
        <v>8.0</v>
      </c>
      <c r="D21" s="108">
        <v>64.0</v>
      </c>
      <c r="E21" s="3">
        <v>67.0</v>
      </c>
      <c r="F21" s="3">
        <v>68.0</v>
      </c>
    </row>
    <row r="22">
      <c r="B22" s="184"/>
      <c r="C22" s="185"/>
      <c r="D22" s="108">
        <v>1.0</v>
      </c>
      <c r="E22" s="3">
        <v>1.0</v>
      </c>
      <c r="F22" s="3">
        <v>1.0</v>
      </c>
    </row>
    <row r="23">
      <c r="B23" s="180" t="s">
        <v>238</v>
      </c>
      <c r="C23" s="101">
        <v>8.0</v>
      </c>
      <c r="D23" s="108">
        <v>66.0</v>
      </c>
    </row>
    <row r="24">
      <c r="B24" s="184"/>
      <c r="C24" s="185"/>
      <c r="D24" s="108">
        <v>1.0</v>
      </c>
    </row>
    <row r="25">
      <c r="B25" s="180" t="s">
        <v>190</v>
      </c>
      <c r="C25" s="101"/>
      <c r="D25" s="108"/>
      <c r="E25" s="108">
        <v>0.0</v>
      </c>
      <c r="F25" s="3">
        <v>0.0</v>
      </c>
    </row>
    <row r="26">
      <c r="B26" s="180"/>
      <c r="C26" s="101"/>
      <c r="D26" s="108"/>
      <c r="E26" s="108">
        <v>25.0</v>
      </c>
      <c r="F26" s="3">
        <v>30.0</v>
      </c>
    </row>
    <row r="27">
      <c r="B27" s="180" t="s">
        <v>197</v>
      </c>
      <c r="C27" s="101"/>
      <c r="D27" s="108" t="s">
        <v>145</v>
      </c>
      <c r="E27" s="108" t="s">
        <v>145</v>
      </c>
      <c r="F27" s="3" t="s">
        <v>145</v>
      </c>
    </row>
    <row r="28">
      <c r="B28" s="178"/>
      <c r="C28" s="172"/>
      <c r="D28" s="108">
        <v>10.0</v>
      </c>
      <c r="E28" s="108">
        <v>10.0</v>
      </c>
      <c r="F28" s="3">
        <v>12.0</v>
      </c>
    </row>
    <row r="29">
      <c r="B29" s="180" t="s">
        <v>197</v>
      </c>
      <c r="C29" s="101"/>
      <c r="D29" s="108" t="s">
        <v>145</v>
      </c>
      <c r="E29" s="108" t="s">
        <v>145</v>
      </c>
      <c r="F29" s="3" t="s">
        <v>145</v>
      </c>
    </row>
    <row r="30">
      <c r="B30" s="178"/>
      <c r="C30" s="172"/>
      <c r="D30" s="108">
        <v>10.0</v>
      </c>
      <c r="E30" s="108">
        <v>10.0</v>
      </c>
      <c r="F30" s="3">
        <v>12.0</v>
      </c>
    </row>
    <row r="31">
      <c r="B31" s="180" t="s">
        <v>197</v>
      </c>
      <c r="C31" s="101"/>
      <c r="D31" s="108" t="s">
        <v>145</v>
      </c>
      <c r="E31" s="108" t="s">
        <v>145</v>
      </c>
      <c r="F31" s="3" t="s">
        <v>145</v>
      </c>
    </row>
    <row r="32">
      <c r="B32" s="178"/>
      <c r="C32" s="172"/>
      <c r="D32" s="108">
        <v>10.0</v>
      </c>
      <c r="E32" s="108">
        <v>10.0</v>
      </c>
      <c r="F32" s="3">
        <v>12.0</v>
      </c>
    </row>
    <row r="33">
      <c r="B33" s="180" t="s">
        <v>170</v>
      </c>
      <c r="C33" s="172"/>
      <c r="D33" s="3">
        <v>7.0</v>
      </c>
      <c r="E33" s="3">
        <v>7.0</v>
      </c>
      <c r="F33" s="3">
        <v>7.0</v>
      </c>
    </row>
    <row r="34">
      <c r="B34" s="178"/>
      <c r="C34" s="172"/>
      <c r="D34" s="3">
        <v>12.0</v>
      </c>
      <c r="E34" s="3">
        <v>13.0</v>
      </c>
      <c r="F34" s="3">
        <v>14.0</v>
      </c>
    </row>
    <row r="35">
      <c r="B35" s="180" t="s">
        <v>170</v>
      </c>
      <c r="C35" s="172"/>
      <c r="D35" s="3">
        <v>7.0</v>
      </c>
      <c r="E35" s="3">
        <v>7.0</v>
      </c>
      <c r="F35" s="3">
        <v>7.0</v>
      </c>
    </row>
    <row r="36">
      <c r="B36" s="178"/>
      <c r="C36" s="172"/>
      <c r="D36" s="3">
        <v>12.0</v>
      </c>
      <c r="E36" s="3">
        <v>13.0</v>
      </c>
      <c r="F36" s="3">
        <v>14.0</v>
      </c>
    </row>
    <row r="37">
      <c r="B37" s="180" t="s">
        <v>170</v>
      </c>
      <c r="C37" s="172"/>
      <c r="D37" s="3">
        <v>7.0</v>
      </c>
      <c r="E37" s="3">
        <v>7.0</v>
      </c>
      <c r="F37" s="3">
        <v>7.0</v>
      </c>
    </row>
    <row r="38">
      <c r="B38" s="178"/>
      <c r="C38" s="172"/>
      <c r="D38" s="3">
        <v>12.0</v>
      </c>
      <c r="E38" s="3">
        <v>13.0</v>
      </c>
      <c r="F38" s="3">
        <v>14.0</v>
      </c>
    </row>
    <row r="39">
      <c r="B39" s="180" t="s">
        <v>157</v>
      </c>
      <c r="C39" s="172"/>
      <c r="D39" s="3">
        <v>12.0</v>
      </c>
      <c r="E39" s="3">
        <v>12.0</v>
      </c>
      <c r="F39" s="3">
        <v>12.0</v>
      </c>
    </row>
    <row r="40">
      <c r="B40" s="178"/>
      <c r="C40" s="172"/>
      <c r="D40" s="3">
        <v>10.0</v>
      </c>
      <c r="E40" s="3">
        <v>12.0</v>
      </c>
      <c r="F40" s="3">
        <v>13.0</v>
      </c>
    </row>
    <row r="41">
      <c r="B41" s="180" t="s">
        <v>157</v>
      </c>
      <c r="C41" s="172"/>
      <c r="D41" s="3">
        <v>12.0</v>
      </c>
      <c r="E41" s="3">
        <v>12.0</v>
      </c>
      <c r="F41" s="3">
        <v>12.0</v>
      </c>
    </row>
    <row r="42">
      <c r="B42" s="178"/>
      <c r="C42" s="172"/>
      <c r="D42" s="3">
        <v>10.0</v>
      </c>
      <c r="E42" s="3">
        <v>12.0</v>
      </c>
      <c r="F42" s="3">
        <v>13.0</v>
      </c>
    </row>
    <row r="43">
      <c r="B43" s="180" t="s">
        <v>157</v>
      </c>
      <c r="C43" s="172"/>
      <c r="D43" s="3">
        <v>12.0</v>
      </c>
      <c r="E43" s="3">
        <v>12.0</v>
      </c>
      <c r="F43" s="3">
        <v>12.0</v>
      </c>
    </row>
    <row r="44">
      <c r="B44" s="178"/>
      <c r="C44" s="172"/>
      <c r="D44" s="3">
        <v>10.0</v>
      </c>
      <c r="E44" s="3">
        <v>12.0</v>
      </c>
      <c r="F44" s="3">
        <v>13.0</v>
      </c>
    </row>
    <row r="45">
      <c r="B45" s="180" t="s">
        <v>157</v>
      </c>
      <c r="C45" s="172"/>
      <c r="D45" s="3">
        <v>12.0</v>
      </c>
    </row>
    <row r="46">
      <c r="B46" s="178"/>
      <c r="C46" s="172"/>
      <c r="D46" s="3">
        <v>10.0</v>
      </c>
    </row>
    <row r="47">
      <c r="B47" s="180" t="s">
        <v>157</v>
      </c>
      <c r="C47" s="172"/>
      <c r="D47" s="3">
        <v>12.0</v>
      </c>
    </row>
    <row r="48">
      <c r="B48" s="178"/>
      <c r="C48" s="172"/>
      <c r="D48" s="3">
        <v>10.0</v>
      </c>
    </row>
    <row r="49">
      <c r="B49"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8" width="4.25"/>
  </cols>
  <sheetData>
    <row r="1">
      <c r="A1" s="3" t="s">
        <v>224</v>
      </c>
      <c r="B1" s="101" t="s">
        <v>242</v>
      </c>
      <c r="D1" s="108" t="s">
        <v>224</v>
      </c>
      <c r="E1" s="116" t="s">
        <v>224</v>
      </c>
      <c r="F1" s="116" t="s">
        <v>224</v>
      </c>
      <c r="G1" s="116"/>
      <c r="H1" s="116" t="s">
        <v>160</v>
      </c>
    </row>
    <row r="2">
      <c r="B2" s="101"/>
      <c r="C2" s="170"/>
      <c r="D2" s="124"/>
      <c r="E2" s="124"/>
      <c r="F2" s="124"/>
      <c r="G2" s="124"/>
      <c r="H2" s="124"/>
    </row>
    <row r="3">
      <c r="B3" s="101"/>
      <c r="C3" s="170"/>
      <c r="D3" s="124">
        <v>45950.0</v>
      </c>
      <c r="E3" s="124">
        <v>45955.0</v>
      </c>
      <c r="F3" s="124">
        <v>45957.0</v>
      </c>
      <c r="G3" s="124"/>
      <c r="H3" s="124"/>
    </row>
    <row r="4">
      <c r="B4" s="101"/>
      <c r="C4" s="101"/>
      <c r="D4" s="3">
        <v>68.9</v>
      </c>
      <c r="E4" s="3">
        <v>68.7</v>
      </c>
      <c r="F4" s="3">
        <v>68.6</v>
      </c>
    </row>
    <row r="5">
      <c r="B5" s="173" t="s">
        <v>169</v>
      </c>
      <c r="C5" s="174">
        <v>8.0</v>
      </c>
      <c r="D5" s="175">
        <v>40.0</v>
      </c>
      <c r="F5" s="3">
        <v>41.0</v>
      </c>
    </row>
    <row r="6">
      <c r="B6" s="178"/>
      <c r="C6" s="101"/>
      <c r="D6" s="108">
        <v>2.0</v>
      </c>
      <c r="F6" s="3">
        <v>2.0</v>
      </c>
    </row>
    <row r="7">
      <c r="B7" s="173" t="s">
        <v>169</v>
      </c>
      <c r="C7" s="174">
        <v>8.0</v>
      </c>
      <c r="D7" s="175">
        <v>40.0</v>
      </c>
      <c r="F7" s="3">
        <v>41.0</v>
      </c>
    </row>
    <row r="8">
      <c r="B8" s="178"/>
      <c r="C8" s="101"/>
      <c r="D8" s="108">
        <v>2.0</v>
      </c>
      <c r="F8" s="3">
        <v>2.0</v>
      </c>
    </row>
    <row r="9">
      <c r="B9" s="173" t="s">
        <v>169</v>
      </c>
      <c r="C9" s="174">
        <v>8.0</v>
      </c>
      <c r="D9" s="175">
        <v>40.0</v>
      </c>
      <c r="F9" s="3">
        <v>41.0</v>
      </c>
    </row>
    <row r="10">
      <c r="B10" s="178"/>
      <c r="C10" s="101"/>
      <c r="D10" s="108">
        <v>2.0</v>
      </c>
      <c r="F10" s="3">
        <v>2.0</v>
      </c>
    </row>
    <row r="11">
      <c r="B11" s="173" t="s">
        <v>243</v>
      </c>
      <c r="C11" s="174">
        <v>4.6</v>
      </c>
      <c r="D11" s="108">
        <v>20.0</v>
      </c>
      <c r="E11" s="3"/>
      <c r="F11" s="3">
        <v>20.0</v>
      </c>
      <c r="G11" s="3"/>
      <c r="H11" s="3"/>
    </row>
    <row r="12">
      <c r="B12" s="178"/>
      <c r="C12" s="101"/>
      <c r="D12" s="108">
        <v>6.0</v>
      </c>
      <c r="F12" s="3">
        <v>8.0</v>
      </c>
    </row>
    <row r="13">
      <c r="B13" s="173" t="s">
        <v>243</v>
      </c>
      <c r="C13" s="174">
        <v>4.6</v>
      </c>
      <c r="D13" s="108">
        <v>20.0</v>
      </c>
      <c r="F13" s="3">
        <v>20.0</v>
      </c>
    </row>
    <row r="14">
      <c r="B14" s="178"/>
      <c r="C14" s="101"/>
      <c r="D14" s="108">
        <v>6.0</v>
      </c>
      <c r="F14" s="3">
        <v>6.0</v>
      </c>
    </row>
    <row r="15">
      <c r="B15" s="173" t="s">
        <v>243</v>
      </c>
      <c r="C15" s="174">
        <v>4.6</v>
      </c>
      <c r="D15" s="108">
        <v>20.0</v>
      </c>
      <c r="F15" s="3">
        <v>20.0</v>
      </c>
    </row>
    <row r="16">
      <c r="B16" s="178"/>
      <c r="C16" s="101"/>
      <c r="D16" s="108">
        <v>6.0</v>
      </c>
      <c r="F16" s="3">
        <v>6.0</v>
      </c>
    </row>
    <row r="17">
      <c r="B17" s="180" t="s">
        <v>244</v>
      </c>
      <c r="C17" s="174">
        <v>4.6</v>
      </c>
      <c r="D17" s="108">
        <v>10.0</v>
      </c>
      <c r="F17" s="3">
        <v>10.0</v>
      </c>
    </row>
    <row r="18">
      <c r="B18" s="184"/>
      <c r="C18" s="185"/>
      <c r="D18" s="186">
        <v>8.0</v>
      </c>
      <c r="F18" s="3">
        <v>8.0</v>
      </c>
    </row>
    <row r="19">
      <c r="B19" s="180" t="s">
        <v>244</v>
      </c>
      <c r="C19" s="174">
        <v>4.6</v>
      </c>
      <c r="D19" s="175">
        <v>10.0</v>
      </c>
      <c r="F19" s="3">
        <v>10.0</v>
      </c>
    </row>
    <row r="20">
      <c r="B20" s="184"/>
      <c r="C20" s="185"/>
      <c r="D20" s="108">
        <v>8.0</v>
      </c>
      <c r="F20" s="3">
        <v>8.0</v>
      </c>
    </row>
    <row r="21">
      <c r="B21" s="180" t="s">
        <v>244</v>
      </c>
      <c r="C21" s="174">
        <v>4.6</v>
      </c>
      <c r="D21" s="108">
        <v>10.0</v>
      </c>
      <c r="F21" s="3">
        <v>10.0</v>
      </c>
    </row>
    <row r="22">
      <c r="B22" s="184"/>
      <c r="C22" s="185"/>
      <c r="D22" s="108">
        <v>8.0</v>
      </c>
      <c r="F22" s="3">
        <v>8.0</v>
      </c>
    </row>
    <row r="23">
      <c r="B23" s="173" t="s">
        <v>197</v>
      </c>
      <c r="C23" s="172"/>
      <c r="E23" s="3" t="s">
        <v>145</v>
      </c>
    </row>
    <row r="24">
      <c r="B24" s="180"/>
      <c r="C24" s="172"/>
      <c r="D24" s="3"/>
      <c r="E24" s="3">
        <v>10.0</v>
      </c>
    </row>
    <row r="25">
      <c r="B25" s="173" t="s">
        <v>197</v>
      </c>
      <c r="C25" s="172"/>
      <c r="D25" s="3"/>
      <c r="E25" s="3" t="s">
        <v>145</v>
      </c>
    </row>
    <row r="26">
      <c r="B26" s="180"/>
      <c r="C26" s="172"/>
      <c r="D26" s="3"/>
      <c r="E26" s="3">
        <v>10.0</v>
      </c>
    </row>
    <row r="27">
      <c r="B27" s="173" t="s">
        <v>197</v>
      </c>
      <c r="C27" s="172"/>
      <c r="D27" s="3"/>
      <c r="E27" s="3" t="s">
        <v>145</v>
      </c>
    </row>
    <row r="28">
      <c r="B28" s="180"/>
      <c r="C28" s="172"/>
      <c r="D28" s="3"/>
      <c r="E28" s="3">
        <v>10.0</v>
      </c>
    </row>
    <row r="29">
      <c r="B29" s="180" t="s">
        <v>167</v>
      </c>
      <c r="C29" s="172"/>
      <c r="D29" s="3"/>
      <c r="E29" s="96" t="s">
        <v>143</v>
      </c>
    </row>
    <row r="30">
      <c r="B30" s="180"/>
      <c r="C30" s="172"/>
      <c r="D30" s="3"/>
      <c r="E30" s="3">
        <v>15.0</v>
      </c>
    </row>
    <row r="31">
      <c r="B31" s="180" t="s">
        <v>157</v>
      </c>
      <c r="C31" s="172"/>
      <c r="D31" s="3">
        <v>12.0</v>
      </c>
      <c r="E31" s="3">
        <v>12.0</v>
      </c>
      <c r="F31" s="3">
        <v>12.0</v>
      </c>
    </row>
    <row r="32">
      <c r="B32" s="178"/>
      <c r="C32" s="172"/>
      <c r="D32" s="3">
        <v>12.0</v>
      </c>
      <c r="E32" s="3">
        <v>15.0</v>
      </c>
      <c r="F32" s="3">
        <v>15.0</v>
      </c>
    </row>
    <row r="33">
      <c r="B33" s="180" t="s">
        <v>157</v>
      </c>
      <c r="C33" s="172"/>
      <c r="D33" s="3">
        <v>12.0</v>
      </c>
      <c r="E33" s="3">
        <v>12.0</v>
      </c>
      <c r="F33" s="3">
        <v>12.0</v>
      </c>
    </row>
    <row r="34">
      <c r="B34" s="178"/>
      <c r="C34" s="172"/>
      <c r="D34" s="3">
        <v>12.0</v>
      </c>
      <c r="E34" s="3">
        <v>15.0</v>
      </c>
      <c r="F34" s="3">
        <v>18.0</v>
      </c>
    </row>
    <row r="35">
      <c r="B35" s="180" t="s">
        <v>157</v>
      </c>
      <c r="C35" s="172"/>
      <c r="D35" s="3">
        <v>12.0</v>
      </c>
      <c r="E35" s="3">
        <v>12.0</v>
      </c>
      <c r="F35" s="3">
        <v>12.0</v>
      </c>
    </row>
    <row r="36">
      <c r="B36" s="178"/>
      <c r="C36" s="172"/>
      <c r="D36" s="3">
        <v>12.0</v>
      </c>
      <c r="E36" s="3">
        <v>20.0</v>
      </c>
      <c r="F36" s="3">
        <v>20.0</v>
      </c>
    </row>
    <row r="37">
      <c r="B37"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6" width="4.25"/>
  </cols>
  <sheetData>
    <row r="1">
      <c r="A1" s="3" t="s">
        <v>224</v>
      </c>
      <c r="B1" s="101" t="s">
        <v>245</v>
      </c>
      <c r="D1" s="108" t="s">
        <v>224</v>
      </c>
      <c r="E1" s="116"/>
      <c r="F1" s="116" t="s">
        <v>160</v>
      </c>
    </row>
    <row r="2">
      <c r="B2" s="101"/>
      <c r="C2" s="170"/>
      <c r="D2" s="124"/>
      <c r="E2" s="124"/>
      <c r="F2" s="124"/>
    </row>
    <row r="3">
      <c r="B3" s="101"/>
      <c r="C3" s="170"/>
      <c r="D3" s="124">
        <v>45953.0</v>
      </c>
      <c r="E3" s="124">
        <v>45960.0</v>
      </c>
      <c r="F3" s="124"/>
    </row>
    <row r="4">
      <c r="B4" s="101"/>
      <c r="C4" s="101"/>
      <c r="D4" s="3">
        <v>68.5</v>
      </c>
      <c r="E4" s="3">
        <v>68.9</v>
      </c>
    </row>
    <row r="5">
      <c r="B5" s="101" t="s">
        <v>64</v>
      </c>
      <c r="C5" s="101">
        <v>8.0</v>
      </c>
      <c r="D5" s="108"/>
      <c r="E5" s="3">
        <v>20.0</v>
      </c>
    </row>
    <row r="6">
      <c r="B6" s="101"/>
      <c r="C6" s="101"/>
      <c r="D6" s="108"/>
      <c r="E6" s="3">
        <v>5.0</v>
      </c>
    </row>
    <row r="7">
      <c r="B7" s="101" t="s">
        <v>64</v>
      </c>
      <c r="C7" s="101">
        <v>8.0</v>
      </c>
      <c r="D7" s="108"/>
      <c r="E7" s="3">
        <v>22.0</v>
      </c>
    </row>
    <row r="8">
      <c r="B8" s="101"/>
      <c r="C8" s="101"/>
      <c r="D8" s="108"/>
      <c r="E8" s="3">
        <v>5.0</v>
      </c>
    </row>
    <row r="9">
      <c r="B9" s="101" t="s">
        <v>64</v>
      </c>
      <c r="C9" s="101">
        <v>8.0</v>
      </c>
      <c r="D9" s="108"/>
      <c r="E9" s="3">
        <v>23.0</v>
      </c>
    </row>
    <row r="10">
      <c r="B10" s="101"/>
      <c r="C10" s="101"/>
      <c r="D10" s="108"/>
      <c r="E10" s="3">
        <v>5.0</v>
      </c>
    </row>
    <row r="11">
      <c r="B11" s="173" t="s">
        <v>162</v>
      </c>
      <c r="C11" s="174">
        <v>8.0</v>
      </c>
      <c r="D11" s="175">
        <v>50.0</v>
      </c>
      <c r="E11" s="3">
        <v>50.0</v>
      </c>
    </row>
    <row r="12">
      <c r="B12" s="178"/>
      <c r="C12" s="101"/>
      <c r="D12" s="108">
        <v>10.0</v>
      </c>
      <c r="E12" s="3">
        <v>11.0</v>
      </c>
    </row>
    <row r="13">
      <c r="B13" s="173" t="s">
        <v>162</v>
      </c>
      <c r="C13" s="174">
        <v>8.0</v>
      </c>
      <c r="D13" s="175">
        <v>50.0</v>
      </c>
      <c r="E13" s="3">
        <v>50.0</v>
      </c>
    </row>
    <row r="14">
      <c r="B14" s="178"/>
      <c r="C14" s="101"/>
      <c r="D14" s="108">
        <v>10.0</v>
      </c>
      <c r="E14" s="3">
        <v>11.0</v>
      </c>
    </row>
    <row r="15">
      <c r="B15" s="173" t="s">
        <v>162</v>
      </c>
      <c r="C15" s="174">
        <v>8.0</v>
      </c>
      <c r="D15" s="175">
        <v>50.0</v>
      </c>
      <c r="E15" s="3">
        <v>50.0</v>
      </c>
    </row>
    <row r="16">
      <c r="B16" s="178"/>
      <c r="C16" s="101"/>
      <c r="D16" s="108">
        <v>10.0</v>
      </c>
    </row>
    <row r="17">
      <c r="B17" s="173" t="s">
        <v>163</v>
      </c>
      <c r="C17" s="174">
        <v>8.0</v>
      </c>
      <c r="D17" s="108">
        <v>60.0</v>
      </c>
      <c r="E17" s="3">
        <v>60.0</v>
      </c>
      <c r="F17" s="3"/>
    </row>
    <row r="18">
      <c r="B18" s="178"/>
      <c r="C18" s="101"/>
      <c r="D18" s="108">
        <v>1.0</v>
      </c>
      <c r="E18" s="3">
        <v>1.0</v>
      </c>
    </row>
    <row r="19">
      <c r="B19" s="173" t="s">
        <v>163</v>
      </c>
      <c r="C19" s="174">
        <v>8.0</v>
      </c>
      <c r="D19" s="108">
        <v>60.0</v>
      </c>
      <c r="E19" s="3">
        <v>62.0</v>
      </c>
    </row>
    <row r="20">
      <c r="B20" s="178"/>
      <c r="C20" s="101"/>
      <c r="D20" s="108">
        <v>1.0</v>
      </c>
      <c r="E20" s="3">
        <v>1.0</v>
      </c>
    </row>
    <row r="21">
      <c r="B21" s="173" t="s">
        <v>163</v>
      </c>
      <c r="C21" s="174">
        <v>8.0</v>
      </c>
      <c r="D21" s="108">
        <v>60.0</v>
      </c>
      <c r="E21" s="3">
        <v>64.0</v>
      </c>
    </row>
    <row r="22">
      <c r="B22" s="178"/>
      <c r="C22" s="101"/>
      <c r="D22" s="108">
        <v>1.0</v>
      </c>
      <c r="E22" s="3">
        <v>1.0</v>
      </c>
    </row>
    <row r="23">
      <c r="B23" s="166" t="s">
        <v>160</v>
      </c>
      <c r="C23" s="174"/>
      <c r="D23" s="108"/>
    </row>
    <row r="24">
      <c r="B24" s="184"/>
      <c r="C24" s="185"/>
      <c r="D24" s="186"/>
    </row>
    <row r="25">
      <c r="B25" s="180"/>
      <c r="C25" s="174"/>
      <c r="D25" s="175"/>
    </row>
    <row r="26">
      <c r="B26" s="184"/>
      <c r="C26" s="185"/>
      <c r="D26" s="108"/>
    </row>
    <row r="27">
      <c r="B27" s="180"/>
      <c r="C27" s="174"/>
      <c r="D27" s="108"/>
    </row>
    <row r="28">
      <c r="B28" s="184"/>
      <c r="C28" s="185"/>
      <c r="D28" s="108"/>
    </row>
    <row r="29">
      <c r="B29" s="180"/>
      <c r="C29" s="172"/>
    </row>
    <row r="30">
      <c r="B30" s="178"/>
      <c r="C30" s="172"/>
    </row>
    <row r="31">
      <c r="B31" s="180"/>
      <c r="C31" s="172"/>
    </row>
    <row r="32">
      <c r="B32" s="178"/>
      <c r="C32" s="172"/>
    </row>
    <row r="33">
      <c r="B33" s="180"/>
      <c r="C33" s="172"/>
    </row>
    <row r="34">
      <c r="B34" s="178"/>
      <c r="C34"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246</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247</v>
      </c>
      <c r="B5" s="173" t="s">
        <v>229</v>
      </c>
      <c r="C5" s="174">
        <v>8.0</v>
      </c>
      <c r="D5" s="175">
        <v>20.0</v>
      </c>
    </row>
    <row r="6">
      <c r="B6" s="178"/>
      <c r="C6" s="101"/>
      <c r="D6" s="108">
        <v>5.0</v>
      </c>
    </row>
    <row r="7">
      <c r="A7" s="3" t="s">
        <v>247</v>
      </c>
      <c r="B7" s="173" t="s">
        <v>229</v>
      </c>
      <c r="C7" s="174">
        <v>8.0</v>
      </c>
      <c r="D7" s="108">
        <v>24.0</v>
      </c>
      <c r="H7" s="181"/>
    </row>
    <row r="8">
      <c r="B8" s="178"/>
      <c r="C8" s="101"/>
      <c r="D8" s="108">
        <v>5.0</v>
      </c>
      <c r="H8" s="179"/>
    </row>
    <row r="9">
      <c r="A9" s="3" t="s">
        <v>247</v>
      </c>
      <c r="B9" s="173" t="s">
        <v>229</v>
      </c>
      <c r="C9" s="174">
        <v>8.0</v>
      </c>
      <c r="D9" s="108">
        <v>28.0</v>
      </c>
      <c r="H9" s="179"/>
    </row>
    <row r="10">
      <c r="B10" s="178"/>
      <c r="C10" s="101"/>
      <c r="D10" s="108">
        <v>5.0</v>
      </c>
      <c r="H10" s="179"/>
    </row>
    <row r="11">
      <c r="B11" s="166" t="s">
        <v>229</v>
      </c>
      <c r="C11" s="174">
        <v>8.0</v>
      </c>
      <c r="D11" s="108">
        <v>32.0</v>
      </c>
      <c r="H11" s="181"/>
    </row>
    <row r="12">
      <c r="B12" s="166"/>
      <c r="C12" s="101"/>
      <c r="D12" s="108">
        <v>5.0</v>
      </c>
    </row>
    <row r="13">
      <c r="B13" s="180" t="s">
        <v>229</v>
      </c>
      <c r="C13" s="174">
        <v>8.0</v>
      </c>
      <c r="D13" s="108">
        <v>36.0</v>
      </c>
    </row>
    <row r="14">
      <c r="B14" s="184"/>
      <c r="C14" s="185"/>
      <c r="D14" s="186">
        <v>5.0</v>
      </c>
    </row>
    <row r="15">
      <c r="B15" s="166" t="s">
        <v>248</v>
      </c>
      <c r="C15" s="174">
        <v>8.0</v>
      </c>
      <c r="D15" s="175">
        <v>20.0</v>
      </c>
    </row>
    <row r="16">
      <c r="B16" s="178"/>
      <c r="C16" s="101"/>
      <c r="D16" s="108">
        <v>3.0</v>
      </c>
    </row>
    <row r="17">
      <c r="B17" s="180" t="s">
        <v>229</v>
      </c>
      <c r="C17" s="174">
        <v>8.0</v>
      </c>
      <c r="D17" s="108">
        <v>40.0</v>
      </c>
    </row>
    <row r="18">
      <c r="B18" s="178"/>
      <c r="C18" s="172"/>
      <c r="D18" s="108">
        <v>1.0</v>
      </c>
    </row>
    <row r="19">
      <c r="B19" s="180" t="s">
        <v>229</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229</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249</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250</v>
      </c>
      <c r="C21" s="101"/>
      <c r="D21" s="3">
        <v>7.5</v>
      </c>
    </row>
    <row r="22">
      <c r="B22" s="180"/>
      <c r="C22" s="195"/>
      <c r="D22" s="3">
        <v>10.0</v>
      </c>
      <c r="F22" s="15" t="s">
        <v>26</v>
      </c>
      <c r="G22" s="68">
        <v>48.0</v>
      </c>
    </row>
    <row r="23">
      <c r="B23" s="180" t="s">
        <v>250</v>
      </c>
      <c r="C23" s="174"/>
      <c r="D23" s="3">
        <v>7.5</v>
      </c>
      <c r="F23" s="15" t="s">
        <v>37</v>
      </c>
      <c r="G23" s="68">
        <v>4.0</v>
      </c>
    </row>
    <row r="24">
      <c r="B24" s="180"/>
      <c r="C24" s="172"/>
      <c r="D24" s="3">
        <v>10.0</v>
      </c>
      <c r="F24" s="15" t="s">
        <v>36</v>
      </c>
      <c r="G24" s="43">
        <f>ROUND(IF(G23&lt;10,AVERAGE(G22/(1.0278-0.0278*G23),G22*G23^0.1),AVERAGE(G22*(1+0.0333*G23),G22*G23^0.1)),1)</f>
        <v>53.8</v>
      </c>
    </row>
    <row r="25">
      <c r="B25" s="180" t="s">
        <v>250</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251</v>
      </c>
      <c r="O1" s="128">
        <v>4.0</v>
      </c>
      <c r="P1" s="128">
        <v>8.0</v>
      </c>
      <c r="Q1" s="128">
        <v>43.0</v>
      </c>
      <c r="R1" s="2"/>
      <c r="S1" s="2"/>
      <c r="T1" s="2"/>
      <c r="U1" s="128">
        <v>4.0</v>
      </c>
      <c r="V1" s="128">
        <v>8.0</v>
      </c>
      <c r="W1" s="128">
        <v>43.0</v>
      </c>
      <c r="X1" s="2"/>
      <c r="Y1" s="2"/>
      <c r="Z1" s="2"/>
    </row>
    <row r="2" ht="12.75" customHeight="1">
      <c r="A2" s="2"/>
      <c r="B2" s="2"/>
      <c r="C2" s="2"/>
      <c r="D2" s="2" t="s">
        <v>252</v>
      </c>
      <c r="E2" s="2"/>
      <c r="F2" s="2"/>
      <c r="G2" s="2"/>
      <c r="H2" s="2"/>
      <c r="I2" s="2"/>
      <c r="J2" s="2"/>
      <c r="K2" s="2"/>
      <c r="L2" s="2"/>
      <c r="M2" s="2"/>
      <c r="N2" s="128" t="s">
        <v>253</v>
      </c>
      <c r="O2" s="128">
        <v>3.0</v>
      </c>
      <c r="P2" s="128">
        <v>10.0</v>
      </c>
      <c r="Q2" s="128">
        <v>10.0</v>
      </c>
      <c r="R2" s="2"/>
      <c r="S2" s="2"/>
      <c r="T2" s="2"/>
      <c r="U2" s="128">
        <v>3.0</v>
      </c>
      <c r="V2" s="128">
        <v>10.0</v>
      </c>
      <c r="W2" s="128">
        <v>10.0</v>
      </c>
      <c r="X2" s="2"/>
      <c r="Y2" s="2"/>
      <c r="Z2" s="2"/>
    </row>
    <row r="3" ht="12.75" customHeight="1">
      <c r="A3" s="2"/>
      <c r="B3" s="2" t="s">
        <v>254</v>
      </c>
      <c r="C3" s="2">
        <v>70.5</v>
      </c>
      <c r="D3" s="2">
        <f t="shared" ref="D3:D5" si="1">C3*0.97</f>
        <v>68.385</v>
      </c>
      <c r="E3" s="2" t="s">
        <v>255</v>
      </c>
      <c r="F3" s="2">
        <v>68.3</v>
      </c>
      <c r="G3" s="2"/>
      <c r="H3" s="2"/>
      <c r="I3" s="2"/>
      <c r="J3" s="2"/>
      <c r="K3" s="2"/>
      <c r="L3" s="2"/>
      <c r="M3" s="2"/>
      <c r="N3" s="128" t="s">
        <v>256</v>
      </c>
      <c r="O3" s="213">
        <v>3.0</v>
      </c>
      <c r="P3" s="128">
        <v>15.0</v>
      </c>
      <c r="Q3" s="128">
        <v>22.6</v>
      </c>
      <c r="R3" s="2"/>
      <c r="S3" s="2"/>
      <c r="T3" s="2"/>
      <c r="U3" s="213">
        <v>3.0</v>
      </c>
      <c r="V3" s="128">
        <v>15.0</v>
      </c>
      <c r="W3" s="128">
        <v>20.6</v>
      </c>
      <c r="X3" s="2"/>
      <c r="Y3" s="2"/>
      <c r="Z3" s="2"/>
    </row>
    <row r="4" ht="12.75" customHeight="1">
      <c r="A4" s="2"/>
      <c r="B4" s="2" t="s">
        <v>257</v>
      </c>
      <c r="C4" s="2">
        <v>58.0</v>
      </c>
      <c r="D4" s="2">
        <f t="shared" si="1"/>
        <v>56.26</v>
      </c>
      <c r="E4" s="2" t="s">
        <v>258</v>
      </c>
      <c r="F4" s="2">
        <v>51.8</v>
      </c>
      <c r="G4" s="2"/>
      <c r="H4" s="2"/>
      <c r="I4" s="2"/>
      <c r="J4" s="2"/>
      <c r="K4" s="2"/>
      <c r="L4" s="2"/>
      <c r="M4" s="2"/>
      <c r="N4" s="128" t="s">
        <v>259</v>
      </c>
      <c r="O4" s="128">
        <v>3.0</v>
      </c>
      <c r="P4" s="128">
        <v>15.0</v>
      </c>
      <c r="Q4" s="128">
        <v>2.5</v>
      </c>
      <c r="R4" s="2"/>
      <c r="S4" s="2"/>
      <c r="T4" s="2"/>
      <c r="U4" s="128">
        <v>3.0</v>
      </c>
      <c r="V4" s="128">
        <v>15.0</v>
      </c>
      <c r="W4" s="128">
        <v>3.0</v>
      </c>
      <c r="X4" s="2"/>
      <c r="Y4" s="2"/>
      <c r="Z4" s="2"/>
    </row>
    <row r="5" ht="12.75" customHeight="1">
      <c r="A5" s="2"/>
      <c r="B5" s="2" t="s">
        <v>260</v>
      </c>
      <c r="C5" s="2">
        <v>43.0</v>
      </c>
      <c r="D5" s="2">
        <f t="shared" si="1"/>
        <v>41.71</v>
      </c>
      <c r="E5" s="2" t="s">
        <v>261</v>
      </c>
      <c r="F5" s="2">
        <v>36.2</v>
      </c>
      <c r="G5" s="2"/>
      <c r="H5" s="2"/>
      <c r="I5" s="2"/>
      <c r="J5" s="2"/>
      <c r="K5" s="2"/>
      <c r="L5" s="2"/>
      <c r="M5" s="2"/>
      <c r="N5" s="128" t="s">
        <v>262</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263</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264</v>
      </c>
      <c r="O7" s="2"/>
      <c r="P7" s="2"/>
      <c r="Q7" s="2"/>
      <c r="R7" s="128">
        <v>3.0</v>
      </c>
      <c r="S7" s="128">
        <v>5.0</v>
      </c>
      <c r="T7" s="128" t="s">
        <v>265</v>
      </c>
      <c r="U7" s="134"/>
      <c r="V7" s="2"/>
      <c r="W7" s="2"/>
      <c r="X7" s="2"/>
      <c r="Y7" s="2"/>
      <c r="Z7" s="2"/>
    </row>
    <row r="8" ht="12.75" customHeight="1">
      <c r="A8" s="2"/>
      <c r="B8" s="2"/>
      <c r="C8" s="2" t="s">
        <v>266</v>
      </c>
      <c r="D8" s="134" t="s">
        <v>267</v>
      </c>
      <c r="E8" s="2" t="s">
        <v>268</v>
      </c>
      <c r="F8" s="135" t="s">
        <v>269</v>
      </c>
      <c r="G8" s="131" t="s">
        <v>270</v>
      </c>
      <c r="H8" s="131" t="s">
        <v>271</v>
      </c>
      <c r="I8" s="131" t="s">
        <v>272</v>
      </c>
      <c r="J8" s="131" t="s">
        <v>273</v>
      </c>
      <c r="K8" s="131" t="s">
        <v>274</v>
      </c>
      <c r="L8" s="2"/>
      <c r="M8" s="2"/>
      <c r="N8" s="128" t="s">
        <v>275</v>
      </c>
      <c r="O8" s="2"/>
      <c r="P8" s="2"/>
      <c r="Q8" s="2"/>
      <c r="R8" s="128">
        <v>3.0</v>
      </c>
      <c r="S8" s="128">
        <v>10.0</v>
      </c>
      <c r="T8" s="128">
        <v>12.0</v>
      </c>
      <c r="U8" s="134"/>
      <c r="V8" s="2"/>
      <c r="W8" s="2"/>
      <c r="X8" s="2"/>
      <c r="Y8" s="2"/>
      <c r="Z8" s="2"/>
    </row>
    <row r="9" ht="12.75" customHeight="1">
      <c r="A9" s="2"/>
      <c r="B9" s="128" t="s">
        <v>262</v>
      </c>
      <c r="C9" s="129">
        <v>56.5</v>
      </c>
      <c r="D9" s="130">
        <v>56.5</v>
      </c>
      <c r="E9" s="129">
        <v>56.5</v>
      </c>
      <c r="F9" s="131">
        <v>58.0</v>
      </c>
      <c r="G9" s="132">
        <v>58.0</v>
      </c>
      <c r="H9" s="131">
        <v>58.0</v>
      </c>
      <c r="I9" s="130">
        <v>60.0</v>
      </c>
      <c r="J9" s="129">
        <v>58.0</v>
      </c>
      <c r="K9" s="129">
        <v>60.0</v>
      </c>
      <c r="L9" s="2"/>
      <c r="M9" s="2"/>
      <c r="N9" s="128" t="s">
        <v>256</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262</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251</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263</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276</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275</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253</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256</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259</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277</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278</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253</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279</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280</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276</v>
      </c>
      <c r="C55" s="134"/>
      <c r="D55" s="135">
        <v>52.0</v>
      </c>
      <c r="E55" s="134"/>
      <c r="G55" s="135">
        <v>53.0</v>
      </c>
      <c r="H55" s="134"/>
      <c r="I55" s="134"/>
      <c r="J55" s="134"/>
      <c r="K55" s="134"/>
      <c r="L55" s="2"/>
      <c r="M55" s="2"/>
      <c r="N55" s="2" t="s">
        <v>281</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282</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252</v>
      </c>
      <c r="E2" s="2"/>
      <c r="F2" s="2"/>
      <c r="G2" s="2"/>
      <c r="H2" s="2"/>
      <c r="I2" s="2"/>
      <c r="J2" s="2"/>
      <c r="K2" s="2"/>
      <c r="L2" s="2"/>
      <c r="M2" s="2"/>
      <c r="N2" s="2"/>
      <c r="O2" s="2"/>
      <c r="P2" s="2"/>
      <c r="Q2" s="2"/>
      <c r="R2" s="2"/>
      <c r="S2" s="2"/>
      <c r="T2" s="2"/>
      <c r="U2" s="2"/>
      <c r="V2" s="2"/>
      <c r="W2" s="2"/>
      <c r="X2" s="2"/>
      <c r="Y2" s="2"/>
      <c r="Z2" s="2"/>
    </row>
    <row r="3" ht="12.75" customHeight="1">
      <c r="A3" s="2"/>
      <c r="B3" s="2" t="s">
        <v>254</v>
      </c>
      <c r="C3" s="2">
        <v>70.5</v>
      </c>
      <c r="D3" s="2">
        <f t="shared" ref="D3:D5" si="1">C3*0.97</f>
        <v>68.385</v>
      </c>
      <c r="E3" s="2" t="s">
        <v>255</v>
      </c>
      <c r="F3" s="2">
        <v>68.3</v>
      </c>
      <c r="G3" s="2"/>
      <c r="H3" s="2"/>
      <c r="I3" s="2"/>
      <c r="J3" s="2"/>
      <c r="K3" s="2"/>
      <c r="L3" s="2"/>
      <c r="M3" s="2"/>
      <c r="N3" s="2"/>
      <c r="O3" s="2"/>
      <c r="P3" s="2"/>
      <c r="Q3" s="2"/>
      <c r="R3" s="2"/>
      <c r="S3" s="2"/>
      <c r="T3" s="2"/>
      <c r="U3" s="2"/>
      <c r="V3" s="2"/>
      <c r="W3" s="2"/>
      <c r="X3" s="2"/>
      <c r="Y3" s="2"/>
      <c r="Z3" s="2"/>
    </row>
    <row r="4" ht="12.75" customHeight="1">
      <c r="A4" s="2"/>
      <c r="B4" s="2" t="s">
        <v>257</v>
      </c>
      <c r="C4" s="2">
        <v>58.0</v>
      </c>
      <c r="D4" s="2">
        <f t="shared" si="1"/>
        <v>56.26</v>
      </c>
      <c r="E4" s="2" t="s">
        <v>258</v>
      </c>
      <c r="F4" s="2">
        <v>51.8</v>
      </c>
      <c r="G4" s="2"/>
      <c r="H4" s="2"/>
      <c r="I4" s="2"/>
      <c r="J4" s="2"/>
      <c r="K4" s="2"/>
      <c r="L4" s="2"/>
      <c r="M4" s="2"/>
      <c r="N4" s="2"/>
      <c r="O4" s="2"/>
      <c r="P4" s="2"/>
      <c r="Q4" s="2"/>
      <c r="R4" s="2"/>
      <c r="S4" s="2"/>
      <c r="T4" s="2"/>
      <c r="U4" s="2"/>
      <c r="V4" s="2"/>
      <c r="W4" s="2"/>
      <c r="X4" s="2"/>
      <c r="Y4" s="2"/>
      <c r="Z4" s="2"/>
    </row>
    <row r="5" ht="12.75" customHeight="1">
      <c r="A5" s="2"/>
      <c r="B5" s="2" t="s">
        <v>260</v>
      </c>
      <c r="C5" s="2">
        <v>43.0</v>
      </c>
      <c r="D5" s="2">
        <f t="shared" si="1"/>
        <v>41.71</v>
      </c>
      <c r="E5" s="2" t="s">
        <v>261</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266</v>
      </c>
      <c r="D8" s="2"/>
      <c r="E8" s="35"/>
      <c r="F8" s="15" t="s">
        <v>267</v>
      </c>
      <c r="G8" s="2"/>
      <c r="H8" s="2"/>
      <c r="I8" s="2" t="s">
        <v>268</v>
      </c>
      <c r="J8" s="2"/>
      <c r="K8" s="35"/>
      <c r="L8" s="2"/>
      <c r="M8" s="2"/>
      <c r="N8" s="2"/>
      <c r="O8" s="2"/>
      <c r="P8" s="2"/>
      <c r="Q8" s="2"/>
      <c r="R8" s="2"/>
      <c r="S8" s="2"/>
      <c r="T8" s="2"/>
      <c r="U8" s="2"/>
      <c r="V8" s="2"/>
      <c r="W8" s="2"/>
      <c r="X8" s="2"/>
      <c r="Y8" s="2"/>
      <c r="Z8" s="2"/>
    </row>
    <row r="9" ht="12.75" customHeight="1">
      <c r="A9" s="2"/>
      <c r="B9" s="128" t="s">
        <v>262</v>
      </c>
      <c r="C9" s="128">
        <v>6.0</v>
      </c>
      <c r="D9" s="128">
        <v>3.0</v>
      </c>
      <c r="E9" s="128" t="s">
        <v>283</v>
      </c>
      <c r="F9" s="2"/>
      <c r="G9" s="2"/>
      <c r="H9" s="2"/>
      <c r="I9" s="128">
        <v>6.0</v>
      </c>
      <c r="J9" s="128">
        <v>3.0</v>
      </c>
      <c r="K9" s="128" t="s">
        <v>283</v>
      </c>
      <c r="L9" s="2"/>
      <c r="M9" s="2"/>
      <c r="N9" s="2"/>
      <c r="O9" s="2"/>
      <c r="P9" s="2"/>
      <c r="Q9" s="2"/>
      <c r="R9" s="2"/>
      <c r="S9" s="2"/>
      <c r="T9" s="2"/>
      <c r="U9" s="2"/>
      <c r="V9" s="2"/>
      <c r="W9" s="2"/>
      <c r="X9" s="2"/>
      <c r="Y9" s="2"/>
      <c r="Z9" s="2"/>
    </row>
    <row r="10" ht="12.75" customHeight="1">
      <c r="A10" s="2"/>
      <c r="B10" s="128" t="s">
        <v>251</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253</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256</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259</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262</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263</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264</v>
      </c>
      <c r="C16" s="2"/>
      <c r="D16" s="2"/>
      <c r="E16" s="2"/>
      <c r="F16" s="128">
        <v>3.0</v>
      </c>
      <c r="G16" s="128">
        <v>5.0</v>
      </c>
      <c r="H16" s="128" t="s">
        <v>265</v>
      </c>
      <c r="J16" s="2"/>
      <c r="K16" s="2"/>
      <c r="L16" s="2"/>
      <c r="M16" s="2"/>
      <c r="N16" s="2"/>
      <c r="O16" s="2"/>
      <c r="P16" s="2"/>
      <c r="Q16" s="2"/>
      <c r="R16" s="2"/>
      <c r="S16" s="2"/>
      <c r="T16" s="2"/>
      <c r="U16" s="2"/>
      <c r="V16" s="2"/>
      <c r="W16" s="2"/>
      <c r="X16" s="2"/>
      <c r="Y16" s="2"/>
      <c r="Z16" s="2"/>
    </row>
    <row r="17" ht="12.75" customHeight="1">
      <c r="A17" s="2"/>
      <c r="B17" s="128" t="s">
        <v>275</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256</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262</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251</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263</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276</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275</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253</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256</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259</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281</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284</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285</v>
      </c>
      <c r="B8" s="125" t="s">
        <v>286</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287</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288</v>
      </c>
      <c r="B18" s="166" t="s">
        <v>289</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290</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291</v>
      </c>
      <c r="B33" s="166" t="s">
        <v>292</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170</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293</v>
      </c>
      <c r="B43" s="125" t="s">
        <v>294</v>
      </c>
      <c r="C43" s="219"/>
      <c r="D43" s="153" t="s">
        <v>295</v>
      </c>
      <c r="E43" s="153"/>
      <c r="F43" s="153"/>
      <c r="G43" s="152" t="s">
        <v>295</v>
      </c>
      <c r="H43" s="152" t="s">
        <v>296</v>
      </c>
      <c r="I43" s="151" t="s">
        <v>295</v>
      </c>
      <c r="J43" s="151" t="s">
        <v>296</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297</v>
      </c>
      <c r="B48" s="125" t="s">
        <v>298</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171</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209</v>
      </c>
      <c r="B58" s="166" t="s">
        <v>209</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214</v>
      </c>
      <c r="B68" s="166" t="s">
        <v>214</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211</v>
      </c>
      <c r="B73" s="166" t="s">
        <v>211</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299</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300</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301</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302</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303</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299</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300</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301</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302</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303</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304</v>
      </c>
      <c r="C2" s="15">
        <v>66.1</v>
      </c>
    </row>
    <row r="3" ht="12.75" customHeight="1"/>
    <row r="4" ht="12.75" customHeight="1">
      <c r="X4" s="15">
        <f t="array" ref="X4:X13">sequence(10,1,TODAY(),0)</f>
        <v>45961</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45961.0</v>
      </c>
    </row>
    <row r="6" ht="12.75" customHeight="1">
      <c r="A6" s="2" t="s">
        <v>305</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45961.0</v>
      </c>
      <c r="Y6" s="244">
        <f>TODAY( )</f>
        <v>45961</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45961.0</v>
      </c>
    </row>
    <row r="8" ht="12.75" customHeight="1">
      <c r="A8" s="2" t="s">
        <v>306</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45961.0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45961.0</v>
      </c>
    </row>
    <row r="10" ht="12.75" customHeight="1">
      <c r="A10" s="2" t="s">
        <v>307</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45961.0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45961.0</v>
      </c>
    </row>
    <row r="12" ht="12.75" customHeight="1">
      <c r="A12" s="2" t="s">
        <v>308</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45961.0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45961.0</v>
      </c>
    </row>
    <row r="14" ht="12.75" customHeight="1"/>
    <row r="15" ht="12.75" customHeight="1"/>
    <row r="16" ht="12.75" customHeight="1"/>
    <row r="17" ht="12.75" customHeight="1"/>
    <row r="18" ht="12.75" customHeight="1">
      <c r="B18" s="15" t="s">
        <v>304</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306</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307</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308</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309</v>
      </c>
      <c r="H1" s="15" t="s">
        <v>310</v>
      </c>
    </row>
    <row r="2" ht="12.75" customHeight="1">
      <c r="A2" s="56">
        <v>70.0</v>
      </c>
      <c r="D2" s="15" t="s">
        <v>33</v>
      </c>
      <c r="E2" s="15" t="s">
        <v>34</v>
      </c>
      <c r="F2" s="15" t="s">
        <v>311</v>
      </c>
      <c r="G2" s="15" t="s">
        <v>35</v>
      </c>
      <c r="H2" s="15" t="s">
        <v>312</v>
      </c>
    </row>
    <row r="3" ht="12.75" customHeight="1">
      <c r="D3" s="44">
        <f t="shared" ref="D3:H3" si="1">$A$2</f>
        <v>70</v>
      </c>
      <c r="E3" s="44">
        <f t="shared" si="1"/>
        <v>70</v>
      </c>
      <c r="F3" s="44">
        <f t="shared" si="1"/>
        <v>70</v>
      </c>
      <c r="G3" s="44">
        <f t="shared" si="1"/>
        <v>70</v>
      </c>
      <c r="H3" s="44">
        <f t="shared" si="1"/>
        <v>70</v>
      </c>
    </row>
    <row r="4" ht="12.75" customHeight="1">
      <c r="B4" s="15" t="s">
        <v>313</v>
      </c>
      <c r="C4" s="15">
        <v>2.0</v>
      </c>
      <c r="D4" s="44">
        <f t="shared" ref="D4:D22" si="2">ROUND(D$3*(1.0278-0.0278*C4),1)</f>
        <v>68.1</v>
      </c>
      <c r="E4" s="44">
        <f>E$3*(1+0.0333*$C4)</f>
        <v>74.662</v>
      </c>
    </row>
    <row r="5" ht="12.75" customHeight="1">
      <c r="B5" s="256" t="s">
        <v>314</v>
      </c>
      <c r="C5" s="256">
        <v>3.0</v>
      </c>
      <c r="D5" s="256">
        <f t="shared" si="2"/>
        <v>66.1</v>
      </c>
    </row>
    <row r="6" ht="12.75" customHeight="1">
      <c r="B6" s="15" t="s">
        <v>315</v>
      </c>
      <c r="C6" s="15">
        <v>4.0</v>
      </c>
      <c r="D6" s="44">
        <f t="shared" si="2"/>
        <v>64.2</v>
      </c>
    </row>
    <row r="7" ht="12.75" customHeight="1">
      <c r="B7" s="256" t="s">
        <v>316</v>
      </c>
      <c r="C7" s="256">
        <v>5.0</v>
      </c>
      <c r="D7" s="256">
        <f t="shared" si="2"/>
        <v>62.2</v>
      </c>
    </row>
    <row r="8" ht="12.75" customHeight="1">
      <c r="B8" s="15" t="s">
        <v>317</v>
      </c>
      <c r="C8" s="15">
        <v>6.0</v>
      </c>
      <c r="D8" s="44">
        <f t="shared" si="2"/>
        <v>60.3</v>
      </c>
    </row>
    <row r="9" ht="12.75" customHeight="1">
      <c r="B9" s="15" t="s">
        <v>318</v>
      </c>
      <c r="C9" s="15">
        <v>7.0</v>
      </c>
      <c r="D9" s="44">
        <f t="shared" si="2"/>
        <v>58.3</v>
      </c>
    </row>
    <row r="10" ht="12.75" customHeight="1">
      <c r="B10" s="256" t="s">
        <v>319</v>
      </c>
      <c r="C10" s="256">
        <v>8.0</v>
      </c>
      <c r="D10" s="256">
        <f t="shared" si="2"/>
        <v>56.4</v>
      </c>
    </row>
    <row r="11" ht="12.75" customHeight="1">
      <c r="B11" s="15" t="s">
        <v>320</v>
      </c>
      <c r="C11" s="15">
        <v>9.0</v>
      </c>
      <c r="D11" s="44">
        <f t="shared" si="2"/>
        <v>54.4</v>
      </c>
    </row>
    <row r="12" ht="12.75" customHeight="1">
      <c r="B12" s="256" t="s">
        <v>321</v>
      </c>
      <c r="C12" s="256">
        <v>10.0</v>
      </c>
      <c r="D12" s="256">
        <f t="shared" si="2"/>
        <v>52.5</v>
      </c>
    </row>
    <row r="13" ht="12.75" customHeight="1">
      <c r="B13" s="15" t="s">
        <v>322</v>
      </c>
      <c r="C13" s="15">
        <v>11.0</v>
      </c>
      <c r="D13" s="44">
        <f t="shared" si="2"/>
        <v>50.5</v>
      </c>
    </row>
    <row r="14" ht="12.75" customHeight="1">
      <c r="B14" s="256" t="s">
        <v>323</v>
      </c>
      <c r="C14" s="256">
        <v>12.0</v>
      </c>
      <c r="D14" s="256">
        <f t="shared" si="2"/>
        <v>48.6</v>
      </c>
    </row>
    <row r="15" ht="12.75" customHeight="1">
      <c r="B15" s="15" t="s">
        <v>324</v>
      </c>
      <c r="C15" s="15">
        <v>13.0</v>
      </c>
      <c r="D15" s="44">
        <f t="shared" si="2"/>
        <v>46.6</v>
      </c>
    </row>
    <row r="16" ht="12.75" customHeight="1">
      <c r="B16" s="15" t="s">
        <v>325</v>
      </c>
      <c r="C16" s="15">
        <v>14.0</v>
      </c>
      <c r="D16" s="44">
        <f t="shared" si="2"/>
        <v>44.7</v>
      </c>
    </row>
    <row r="17" ht="12.75" customHeight="1">
      <c r="B17" s="256" t="s">
        <v>326</v>
      </c>
      <c r="C17" s="256">
        <v>15.0</v>
      </c>
      <c r="D17" s="256">
        <f t="shared" si="2"/>
        <v>42.8</v>
      </c>
    </row>
    <row r="18" ht="12.75" customHeight="1">
      <c r="B18" s="15" t="s">
        <v>327</v>
      </c>
      <c r="C18" s="15">
        <v>16.0</v>
      </c>
      <c r="D18" s="44">
        <f t="shared" si="2"/>
        <v>40.8</v>
      </c>
    </row>
    <row r="19" ht="12.75" customHeight="1">
      <c r="B19" s="15" t="s">
        <v>328</v>
      </c>
      <c r="C19" s="15">
        <v>17.0</v>
      </c>
      <c r="D19" s="44">
        <f t="shared" si="2"/>
        <v>38.9</v>
      </c>
    </row>
    <row r="20" ht="12.75" customHeight="1">
      <c r="B20" s="15" t="s">
        <v>329</v>
      </c>
      <c r="C20" s="15">
        <v>18.0</v>
      </c>
      <c r="D20" s="44">
        <f t="shared" si="2"/>
        <v>36.9</v>
      </c>
    </row>
    <row r="21" ht="12.75" customHeight="1">
      <c r="B21" s="15" t="s">
        <v>330</v>
      </c>
      <c r="C21" s="15">
        <v>19.0</v>
      </c>
      <c r="D21" s="44">
        <f t="shared" si="2"/>
        <v>35</v>
      </c>
    </row>
    <row r="22" ht="12.75" customHeight="1">
      <c r="B22" s="15" t="s">
        <v>331</v>
      </c>
      <c r="C22" s="15">
        <v>20.0</v>
      </c>
      <c r="D22" s="44">
        <f t="shared" si="2"/>
        <v>33</v>
      </c>
    </row>
    <row r="23" ht="12.75" customHeight="1">
      <c r="O23" s="15" t="s">
        <v>29</v>
      </c>
    </row>
    <row r="24" ht="12.75" customHeight="1"/>
    <row r="25" ht="12.75" customHeight="1">
      <c r="O25" s="15" t="s">
        <v>309</v>
      </c>
    </row>
    <row r="26" ht="12.75" customHeight="1"/>
    <row r="27" ht="12.75" customHeight="1">
      <c r="O27" s="15" t="s">
        <v>310</v>
      </c>
    </row>
    <row r="28" ht="12.75" customHeight="1"/>
    <row r="29" ht="12.75" customHeight="1">
      <c r="O29" s="257" t="s">
        <v>332</v>
      </c>
    </row>
    <row r="30" ht="12.75" customHeight="1">
      <c r="O30" s="258" t="s">
        <v>333</v>
      </c>
    </row>
    <row r="31" ht="12.75" customHeight="1">
      <c r="O31" s="258" t="s">
        <v>334</v>
      </c>
    </row>
    <row r="32" ht="12.75" customHeight="1">
      <c r="O32" s="258" t="s">
        <v>335</v>
      </c>
    </row>
    <row r="33" ht="12.75" customHeight="1">
      <c r="O33" s="258" t="s">
        <v>336</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337</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338</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338</v>
      </c>
      <c r="AP5" s="2"/>
      <c r="AQ5" s="2"/>
      <c r="AR5" s="2"/>
      <c r="AS5" s="2"/>
      <c r="AT5" s="2"/>
      <c r="AU5" s="2"/>
      <c r="AV5" s="2"/>
      <c r="AW5" s="2"/>
      <c r="AX5" s="2" t="s">
        <v>339</v>
      </c>
      <c r="AY5" s="2"/>
      <c r="AZ5" s="2"/>
      <c r="BA5" s="2"/>
      <c r="BB5" s="2"/>
      <c r="BC5" s="2"/>
      <c r="BD5" s="2"/>
      <c r="BE5" s="2"/>
      <c r="BF5" s="2"/>
      <c r="BG5" s="2"/>
      <c r="BH5" s="2"/>
      <c r="BI5" s="2"/>
      <c r="BJ5" s="2"/>
      <c r="BK5" s="2"/>
      <c r="BL5" s="2"/>
      <c r="BM5" s="2"/>
      <c r="BN5" s="2"/>
      <c r="BO5" s="2"/>
      <c r="BP5" s="2" t="s">
        <v>339</v>
      </c>
      <c r="BQ5" s="2"/>
      <c r="BR5" s="2"/>
      <c r="BS5" s="2"/>
      <c r="BT5" s="2"/>
      <c r="BU5" s="2"/>
      <c r="BV5" s="2"/>
      <c r="BW5" s="2"/>
      <c r="BX5" s="2"/>
      <c r="BY5" s="2"/>
      <c r="BZ5" s="2"/>
      <c r="CA5" s="2"/>
      <c r="CB5" s="2"/>
      <c r="CC5" s="2" t="s">
        <v>339</v>
      </c>
      <c r="CD5" s="2"/>
      <c r="CE5" s="2"/>
      <c r="CF5" s="2" t="s">
        <v>338</v>
      </c>
      <c r="CG5" s="2" t="s">
        <v>338</v>
      </c>
      <c r="CH5" s="2" t="s">
        <v>338</v>
      </c>
      <c r="CI5" s="2"/>
      <c r="CJ5" s="2"/>
      <c r="CK5" s="2"/>
      <c r="CL5" s="2"/>
      <c r="CM5" s="2"/>
      <c r="CN5" s="2"/>
      <c r="CO5" s="2"/>
      <c r="CP5" s="2" t="s">
        <v>339</v>
      </c>
      <c r="CQ5" s="2"/>
      <c r="CR5" s="2"/>
      <c r="CS5" s="2" t="s">
        <v>340</v>
      </c>
      <c r="CT5" s="2"/>
      <c r="CU5" s="2" t="s">
        <v>340</v>
      </c>
      <c r="CV5" s="2"/>
      <c r="CW5" s="2" t="s">
        <v>340</v>
      </c>
      <c r="CX5" s="2" t="s">
        <v>338</v>
      </c>
      <c r="CY5" s="2"/>
      <c r="CZ5" s="2"/>
      <c r="DA5" s="2"/>
      <c r="DB5" s="2"/>
      <c r="DC5" s="2"/>
      <c r="DD5" s="2"/>
      <c r="DE5" s="2" t="s">
        <v>341</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342</v>
      </c>
      <c r="J6" s="2" t="s">
        <v>342</v>
      </c>
      <c r="K6" s="2" t="s">
        <v>342</v>
      </c>
      <c r="L6" s="2" t="s">
        <v>342</v>
      </c>
      <c r="M6" s="2" t="s">
        <v>342</v>
      </c>
      <c r="N6" s="2" t="s">
        <v>342</v>
      </c>
      <c r="O6" s="2" t="s">
        <v>342</v>
      </c>
      <c r="P6" s="2" t="s">
        <v>342</v>
      </c>
      <c r="Q6" s="2" t="s">
        <v>342</v>
      </c>
      <c r="R6" s="2"/>
      <c r="S6" s="2"/>
      <c r="T6" s="2"/>
      <c r="U6" s="2"/>
      <c r="V6" s="2"/>
      <c r="W6" s="2"/>
      <c r="X6" s="2" t="s">
        <v>342</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338</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342</v>
      </c>
      <c r="J6" s="2" t="s">
        <v>342</v>
      </c>
      <c r="K6" s="2" t="s">
        <v>342</v>
      </c>
      <c r="L6" s="2" t="s">
        <v>342</v>
      </c>
      <c r="M6" s="2" t="s">
        <v>342</v>
      </c>
      <c r="N6" s="2" t="s">
        <v>342</v>
      </c>
      <c r="O6" s="2" t="s">
        <v>342</v>
      </c>
      <c r="P6" s="2" t="s">
        <v>342</v>
      </c>
      <c r="Q6" s="2" t="s">
        <v>342</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342</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338</v>
      </c>
      <c r="D25" s="2"/>
      <c r="E25" s="2"/>
      <c r="F25" s="2"/>
      <c r="G25" s="2"/>
      <c r="H25" s="2"/>
      <c r="I25" s="2"/>
      <c r="J25" s="2"/>
      <c r="K25" s="2"/>
      <c r="L25" s="2" t="s">
        <v>339</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339</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339</v>
      </c>
      <c r="F39" s="2"/>
      <c r="G39" s="2"/>
      <c r="H39" s="2" t="s">
        <v>338</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338</v>
      </c>
      <c r="C44" s="2" t="s">
        <v>338</v>
      </c>
      <c r="D44" s="2"/>
      <c r="E44" s="2"/>
      <c r="F44" s="2"/>
      <c r="G44" s="2"/>
      <c r="H44" s="2"/>
      <c r="I44" s="2"/>
      <c r="J44" s="2"/>
      <c r="K44" s="2" t="s">
        <v>339</v>
      </c>
      <c r="L44" s="2"/>
      <c r="M44" s="2"/>
      <c r="N44" s="2" t="s">
        <v>340</v>
      </c>
      <c r="O44" s="2"/>
      <c r="P44" s="2" t="s">
        <v>340</v>
      </c>
      <c r="Q44" s="2"/>
      <c r="R44" s="2" t="s">
        <v>340</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338</v>
      </c>
      <c r="C49" s="2"/>
      <c r="D49" s="2"/>
      <c r="E49" s="2"/>
      <c r="F49" s="2"/>
      <c r="G49" s="2"/>
      <c r="H49" s="2"/>
      <c r="I49" s="2" t="s">
        <v>341</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337</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343</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344</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309</v>
      </c>
      <c r="F1" s="15" t="s">
        <v>30</v>
      </c>
      <c r="G1" s="15" t="s">
        <v>310</v>
      </c>
    </row>
    <row r="2" ht="12.75" customHeight="1">
      <c r="A2" s="56">
        <v>50.0</v>
      </c>
      <c r="C2" s="15" t="s">
        <v>33</v>
      </c>
      <c r="D2" s="15" t="s">
        <v>34</v>
      </c>
      <c r="E2" s="15" t="s">
        <v>311</v>
      </c>
      <c r="F2" s="15" t="s">
        <v>35</v>
      </c>
      <c r="G2" s="15" t="s">
        <v>312</v>
      </c>
      <c r="I2" s="15" t="s">
        <v>345</v>
      </c>
      <c r="J2" s="15" t="s">
        <v>346</v>
      </c>
      <c r="K2" s="15" t="s">
        <v>347</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