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Comp TS" sheetId="12" r:id="rId15"/>
    <sheet state="visible" name=".TigerShark" sheetId="13" r:id="rId16"/>
    <sheet state="visible" name=".Mini DL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<sst xmlns="http://schemas.openxmlformats.org/spreadsheetml/2006/main" count="1004" uniqueCount="234">
  <si>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</si>
  <si>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</si>
  <si>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</si>
  <si>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</si>
  <si>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</si>
  <si>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</si>
  <si>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</si>
  <si>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</si>
  <si>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</si>
  <si>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</si>
  <si>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</si>
  <si>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</si>
  <si>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</si>
  <si>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</si>
  <si>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</si>
  <si>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</si>
  <si>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</si>
  <si>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</si>
  <si>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</si>
  <si>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</si>
  <si>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</si>
  <si>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</si>
  <si>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</si>
  <si>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</si>
  <si>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</si>
  <si>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</si>
  <si>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</si>
  <si>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</si>
  <si>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</si>
  <si>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</si>
  <si>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</si>
  <si>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</si>
  <si>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</si>
  <si>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</si>
  <si>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</si>
  <si>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</si>
  <si>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</si>
  <si>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</si>
  <si>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</si>
  <si>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</si>
  <si>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</si>
  <si>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</si>
  <si>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</si>
  <si>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</si>
  <si>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</si>
  <si>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</si>
  <si>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</si>
  <si>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</si>
  <si>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</si>
  <si>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</si>
  <si>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</si>
  <si>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</si>
  <si>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</si>
  <si>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</si>
  <si>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</si>
  <si>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</si>
  <si>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</si>
  <si>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</si>
  <si>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</si>
  <si>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</si>
  <si>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</si>
  <si>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</si>
  <si>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</si>
  <si>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</si>
  <si>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</si>
  <si>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</si>
  <si>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</si>
  <si>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</si>
  <si>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</si>
  <si>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</si>
  <si>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</si>
  <si>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</si>
  <si>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</si>
  <si>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</si>
  <si>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</si>
  <si>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</si>
  <si>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</si>
  <si>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</si>
  <si>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</si>
  <si>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</si>
  <si>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</si>
  <si>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</si>
  <si>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</si>
  <si>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</si>
  <si>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</si>
  <si>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</si>
  <si>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</si>
  <si>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</si>
  <si>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</si>
  <si>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</si>
  <si>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</si>
  <si>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</si>
  <si>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</si>
  <si>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</si>
  <si>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</si>
  <si>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</si>
  <si>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</si>
  <si>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</si>
  <si>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</si>
  <si>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</si>
  <si>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</si>
  <si>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</si>
  <si>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</si>
  <si>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</si>
  <si>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</si>
  <si>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</si>
  <si>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</si>
  <si>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</si>
  <si>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</si>
  <si>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</si>
  <si>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</si>
  <si>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</si>
  <si>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</si>
  <si>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</si>
  <si>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</si>
  <si>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</si>
  <si>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</si>
  <si>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</si>
  <si>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</si>
  <si>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</si>
  <si>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</si>
  <si>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</si>
  <si>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</si>
  <si>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</si>
  <si>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</si>
  <si>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</si>
  <si>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</si>
  <si>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</si>
  <si>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</si>
  <si>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</si>
  <si>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</si>
  <si>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</si>
  <si>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</si>
  <si>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</si>
  <si>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</si>
  <si>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</si>
  <si>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</si>
  <si>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</si>
  <si>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</si>
  <si>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</si>
  <si>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</si>
  <si>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</si>
  <si>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</si>
  <si>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</si>
  <si>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</si>
  <si>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</si>
  <si>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</si>
  <si>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</si>
  <si>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</si>
  <si>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Comp TS</t>
  </si>
  <si>
    <t>PROW</t>
  </si>
  <si>
    <t>DEOI</t>
  </si>
  <si>
    <t>2*2</t>
  </si>
  <si>
    <t>Très facile</t>
  </si>
  <si>
    <t>Facile</t>
  </si>
  <si>
    <t>Moyen</t>
  </si>
  <si>
    <t>3*5</t>
  </si>
  <si>
    <t>Spoto</t>
  </si>
  <si>
    <t>SPO</t>
  </si>
  <si>
    <t>PEC</t>
  </si>
  <si>
    <t>Mini DL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</si>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</sst>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34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8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0" fillId="25" fontId="3" numFmtId="0" xfId="0" applyAlignment="1" applyFill="1" applyFont="1">
      <alignment readingOrder="0"/>
    </xf>
    <xf borderId="12" fillId="17" fontId="3" numFmtId="0" xfId="0" applyAlignment="1" applyBorder="1" applyFont="1">
      <alignment readingOrder="0"/>
    </xf>
    <xf borderId="12" fillId="25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12" fillId="13" fontId="3" numFmtId="0" xfId="0" applyBorder="1" applyFont="1"/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7" fillId="12" fontId="3" numFmtId="0" xfId="0" applyAlignment="1" applyBorder="1" applyFont="1">
      <alignment readingOrder="0"/>
    </xf>
    <xf borderId="8" fillId="12" fontId="3" numFmtId="0" xfId="0" applyAlignment="1" applyBorder="1" applyFont="1">
      <alignment readingOrder="0"/>
    </xf>
    <xf borderId="9" fillId="11" fontId="3" numFmtId="0" xfId="0" applyBorder="1" applyFont="1"/>
    <xf borderId="0" fillId="12" fontId="3" numFmtId="0" xfId="0" applyAlignment="1" applyFont="1">
      <alignment readingOrder="0"/>
    </xf>
    <xf borderId="10" fillId="12" fontId="3" numFmtId="0" xfId="0" applyAlignment="1" applyBorder="1" applyFont="1">
      <alignment readingOrder="0"/>
    </xf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0" fillId="12" fontId="3" numFmtId="0" xfId="0" applyFont="1"/>
    <xf borderId="10" fillId="12" fontId="3" numFmtId="0" xfId="0" applyBorder="1" applyFont="1"/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6" fillId="26" fontId="3" numFmtId="0" xfId="0" applyAlignment="1" applyBorder="1" applyFill="1" applyFont="1">
      <alignment readingOrder="0"/>
    </xf>
    <xf borderId="7" fillId="26" fontId="3" numFmtId="0" xfId="0" applyAlignment="1" applyBorder="1" applyFont="1">
      <alignment readingOrder="0"/>
    </xf>
    <xf borderId="7" fillId="26" fontId="21" numFmtId="0" xfId="0" applyAlignment="1" applyBorder="1" applyFont="1">
      <alignment horizontal="right" readingOrder="0" vertical="bottom"/>
    </xf>
    <xf borderId="7" fillId="24" fontId="21" numFmtId="0" xfId="0" applyAlignment="1" applyBorder="1" applyFont="1">
      <alignment horizontal="right" readingOrder="0" vertical="bottom"/>
    </xf>
    <xf borderId="8" fillId="26" fontId="21" numFmtId="0" xfId="0" applyAlignment="1" applyBorder="1" applyFont="1">
      <alignment horizontal="right" readingOrder="0" vertical="bottom"/>
    </xf>
    <xf borderId="9" fillId="26" fontId="3" numFmtId="0" xfId="0" applyAlignment="1" applyBorder="1" applyFont="1">
      <alignment readingOrder="0"/>
    </xf>
    <xf borderId="0" fillId="26" fontId="3" numFmtId="0" xfId="0" applyAlignment="1" applyFont="1">
      <alignment readingOrder="0"/>
    </xf>
    <xf borderId="0" fillId="26" fontId="21" numFmtId="0" xfId="0" applyAlignment="1" applyFont="1">
      <alignment horizontal="right" readingOrder="0" vertical="bottom"/>
    </xf>
    <xf borderId="0" fillId="24" fontId="21" numFmtId="0" xfId="0" applyAlignment="1" applyFont="1">
      <alignment horizontal="right" readingOrder="0" vertical="bottom"/>
    </xf>
    <xf borderId="10" fillId="26" fontId="21" numFmtId="0" xfId="0" applyAlignment="1" applyBorder="1" applyFont="1">
      <alignment horizontal="right" readingOrder="0" vertical="bottom"/>
    </xf>
    <xf borderId="10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26" fontId="1" numFmtId="0" xfId="0" applyAlignment="1" applyBorder="1" applyFont="1">
      <alignment readingOrder="0"/>
    </xf>
    <xf borderId="11" fillId="26" fontId="3" numFmtId="0" xfId="0" applyAlignment="1" applyBorder="1" applyFont="1">
      <alignment readingOrder="0"/>
    </xf>
    <xf borderId="12" fillId="26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26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26" fontId="1" numFmtId="0" xfId="0" applyAlignment="1" applyBorder="1" applyFont="1">
      <alignment readingOrder="0"/>
    </xf>
    <xf borderId="9" fillId="27" fontId="3" numFmtId="0" xfId="0" applyAlignment="1" applyBorder="1" applyFill="1" applyFont="1">
      <alignment readingOrder="0"/>
    </xf>
    <xf borderId="0" fillId="27" fontId="3" numFmtId="0" xfId="0" applyAlignment="1" applyFont="1">
      <alignment readingOrder="0"/>
    </xf>
    <xf borderId="10" fillId="27" fontId="3" numFmtId="0" xfId="0" applyAlignment="1" applyBorder="1" applyFont="1">
      <alignment readingOrder="0"/>
    </xf>
    <xf borderId="0" fillId="27" fontId="1" numFmtId="0" xfId="0" applyAlignment="1" applyFont="1">
      <alignment readingOrder="0"/>
    </xf>
    <xf borderId="10" fillId="27" fontId="1" numFmtId="0" xfId="0" applyAlignment="1" applyBorder="1" applyFont="1">
      <alignment readingOrder="0"/>
    </xf>
    <xf borderId="9" fillId="27" fontId="3" numFmtId="0" xfId="0" applyBorder="1" applyFont="1"/>
    <xf borderId="11" fillId="27" fontId="3" numFmtId="0" xfId="0" applyBorder="1" applyFont="1"/>
    <xf borderId="12" fillId="27" fontId="3" numFmtId="0" xfId="0" applyAlignment="1" applyBorder="1" applyFont="1">
      <alignment readingOrder="0"/>
    </xf>
    <xf borderId="12" fillId="27" fontId="1" numFmtId="0" xfId="0" applyAlignment="1" applyBorder="1" applyFont="1">
      <alignment readingOrder="0"/>
    </xf>
    <xf borderId="13" fillId="27" fontId="1" numFmtId="0" xfId="0" applyAlignment="1" applyBorder="1" applyFont="1">
      <alignment readingOrder="0"/>
    </xf>
    <xf borderId="6" fillId="28" fontId="3" numFmtId="0" xfId="0" applyAlignment="1" applyBorder="1" applyFill="1" applyFont="1">
      <alignment readingOrder="0"/>
    </xf>
    <xf borderId="7" fillId="28" fontId="3" numFmtId="0" xfId="0" applyAlignment="1" applyBorder="1" applyFont="1">
      <alignment readingOrder="0"/>
    </xf>
    <xf borderId="8" fillId="28" fontId="3" numFmtId="0" xfId="0" applyAlignment="1" applyBorder="1" applyFont="1">
      <alignment readingOrder="0"/>
    </xf>
    <xf borderId="9" fillId="28" fontId="3" numFmtId="0" xfId="0" applyBorder="1" applyFont="1"/>
    <xf borderId="0" fillId="28" fontId="3" numFmtId="0" xfId="0" applyAlignment="1" applyFont="1">
      <alignment readingOrder="0"/>
    </xf>
    <xf borderId="10" fillId="28" fontId="3" numFmtId="0" xfId="0" applyAlignment="1" applyBorder="1" applyFont="1">
      <alignment readingOrder="0"/>
    </xf>
    <xf borderId="9" fillId="28" fontId="3" numFmtId="0" xfId="0" applyAlignment="1" applyBorder="1" applyFont="1">
      <alignment readingOrder="0"/>
    </xf>
    <xf borderId="0" fillId="28" fontId="3" numFmtId="0" xfId="0" applyFont="1"/>
    <xf borderId="10" fillId="28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9" fillId="29" fontId="3" numFmtId="0" xfId="0" applyAlignment="1" applyBorder="1" applyFill="1" applyFont="1">
      <alignment readingOrder="0"/>
    </xf>
    <xf borderId="0" fillId="29" fontId="3" numFmtId="0" xfId="0" applyAlignment="1" applyFont="1">
      <alignment readingOrder="0"/>
    </xf>
    <xf borderId="10" fillId="29" fontId="3" numFmtId="0" xfId="0" applyBorder="1" applyFont="1"/>
    <xf borderId="8" fillId="11" fontId="3" numFmtId="0" xfId="0" applyBorder="1" applyFont="1"/>
    <xf borderId="10" fillId="11" fontId="3" numFmtId="0" xfId="0" applyBorder="1" applyFont="1"/>
    <xf borderId="11" fillId="11" fontId="3" numFmtId="0" xfId="0" applyAlignment="1" applyBorder="1" applyFont="1">
      <alignment readingOrder="0"/>
    </xf>
    <xf borderId="12" fillId="11" fontId="3" numFmtId="0" xfId="0" applyAlignment="1" applyBorder="1" applyFont="1">
      <alignment readingOrder="0"/>
    </xf>
    <xf borderId="13" fillId="11" fontId="3" numFmtId="0" xfId="0" applyBorder="1" applyFont="1"/>
    <xf borderId="10" fillId="14" fontId="3" numFmtId="0" xfId="0" applyAlignment="1" applyBorder="1" applyFont="1">
      <alignment readingOrder="0"/>
    </xf>
    <xf borderId="6" fillId="30" fontId="3" numFmtId="0" xfId="0" applyAlignment="1" applyBorder="1" applyFill="1" applyFont="1">
      <alignment readingOrder="0"/>
    </xf>
    <xf borderId="7" fillId="30" fontId="3" numFmtId="0" xfId="0" applyBorder="1" applyFont="1"/>
    <xf borderId="7" fillId="30" fontId="3" numFmtId="0" xfId="0" applyAlignment="1" applyBorder="1" applyFont="1">
      <alignment readingOrder="0"/>
    </xf>
    <xf borderId="8" fillId="30" fontId="3" numFmtId="0" xfId="0" applyAlignment="1" applyBorder="1" applyFont="1">
      <alignment readingOrder="0"/>
    </xf>
    <xf borderId="9" fillId="30" fontId="3" numFmtId="0" xfId="0" applyAlignment="1" applyBorder="1" applyFont="1">
      <alignment readingOrder="0"/>
    </xf>
    <xf borderId="0" fillId="30" fontId="3" numFmtId="0" xfId="0" applyFont="1"/>
    <xf borderId="0" fillId="30" fontId="3" numFmtId="0" xfId="0" applyAlignment="1" applyFont="1">
      <alignment readingOrder="0"/>
    </xf>
    <xf borderId="10" fillId="30" fontId="3" numFmtId="0" xfId="0" applyAlignment="1" applyBorder="1" applyFont="1">
      <alignment readingOrder="0"/>
    </xf>
    <xf borderId="11" fillId="30" fontId="3" numFmtId="0" xfId="0" applyAlignment="1" applyBorder="1" applyFont="1">
      <alignment readingOrder="0"/>
    </xf>
    <xf borderId="12" fillId="30" fontId="3" numFmtId="0" xfId="0" applyBorder="1" applyFont="1"/>
    <xf borderId="12" fillId="30" fontId="3" numFmtId="0" xfId="0" applyAlignment="1" applyBorder="1" applyFont="1">
      <alignment readingOrder="0"/>
    </xf>
    <xf borderId="13" fillId="30" fontId="3" numFmtId="0" xfId="0" applyAlignment="1" applyBorder="1" applyFont="1">
      <alignment readingOrder="0"/>
    </xf>
    <xf borderId="9" fillId="30" fontId="3" numFmtId="0" xfId="0" applyBorder="1" applyFont="1"/>
    <xf borderId="13" fillId="30" fontId="3" numFmtId="0" xfId="0" applyBorder="1" applyFont="1"/>
    <xf borderId="11" fillId="30" fontId="3" numFmtId="0" xfId="0" applyBorder="1" applyFont="1"/>
    <xf borderId="10" fillId="30" fontId="3" numFmtId="0" xfId="0" applyBorder="1" applyFont="1"/>
    <xf borderId="1" fillId="31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2" fontId="2" numFmtId="0" xfId="0" applyAlignment="1" applyBorder="1" applyFill="1" applyFont="1">
      <alignment horizontal="center" shrinkToFit="0" vertical="bottom" wrapText="0"/>
    </xf>
    <xf borderId="1" fillId="33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211320"/>
        <c:axId val="1899056575"/>
      </c:scatterChart>
      <c:valAx>
        <c:axId val="647211320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99056575"/>
      </c:valAx>
      <c:valAx>
        <c:axId val="1899056575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64721132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447798"/>
        <c:axId val="494189412"/>
      </c:scatterChart>
      <c:valAx>
        <c:axId val="14074477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4189412"/>
      </c:valAx>
      <c:valAx>
        <c:axId val="49418941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74477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149</v>
      </c>
      <c r="D1" s="67" t="s">
        <v>128</v>
      </c>
      <c r="E1" s="75" t="s">
        <v>128</v>
      </c>
      <c r="F1" s="75" t="s">
        <v>128</v>
      </c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45979.0</v>
      </c>
      <c r="E3" s="84">
        <v>45981.0</v>
      </c>
      <c r="F3" s="84">
        <v>45997.0</v>
      </c>
      <c r="G3" s="84"/>
    </row>
    <row r="4">
      <c r="B4" s="59"/>
      <c r="C4" s="59"/>
      <c r="D4" s="3">
        <v>69.2</v>
      </c>
      <c r="E4" s="3">
        <v>68.8</v>
      </c>
      <c r="F4" s="3">
        <v>68.2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65</v>
      </c>
      <c r="C11" s="59">
        <v>8.0</v>
      </c>
      <c r="D11" s="67"/>
      <c r="E11" s="3"/>
    </row>
    <row r="12">
      <c r="B12" s="59"/>
      <c r="C12" s="59"/>
      <c r="D12" s="67"/>
      <c r="E12" s="3"/>
    </row>
    <row r="13">
      <c r="B13" s="59" t="s">
        <v>65</v>
      </c>
      <c r="C13" s="59">
        <v>8.0</v>
      </c>
      <c r="D13" s="67"/>
      <c r="E13" s="3"/>
    </row>
    <row r="14">
      <c r="B14" s="59"/>
      <c r="C14" s="59"/>
      <c r="D14" s="67"/>
      <c r="E14" s="3"/>
    </row>
    <row r="15">
      <c r="B15" s="59" t="s">
        <v>65</v>
      </c>
      <c r="C15" s="59">
        <v>8.0</v>
      </c>
      <c r="D15" s="67"/>
      <c r="E15" s="3"/>
    </row>
    <row r="16">
      <c r="B16" s="59"/>
      <c r="C16" s="59"/>
      <c r="D16" s="67"/>
      <c r="E16" s="3"/>
    </row>
    <row r="17">
      <c r="B17" s="59" t="s">
        <v>150</v>
      </c>
      <c r="C17" s="59">
        <v>8.0</v>
      </c>
      <c r="D17" s="67"/>
      <c r="E17" s="3"/>
      <c r="F17" s="3">
        <v>20.0</v>
      </c>
    </row>
    <row r="18">
      <c r="B18" s="59"/>
      <c r="C18" s="59"/>
      <c r="D18" s="67"/>
      <c r="E18" s="3"/>
      <c r="F18" s="3">
        <v>5.0</v>
      </c>
    </row>
    <row r="19">
      <c r="B19" s="59" t="s">
        <v>150</v>
      </c>
      <c r="C19" s="59">
        <v>8.0</v>
      </c>
      <c r="D19" s="67"/>
      <c r="E19" s="3"/>
      <c r="F19" s="3">
        <v>26.0</v>
      </c>
    </row>
    <row r="20">
      <c r="B20" s="59"/>
      <c r="C20" s="59"/>
      <c r="D20" s="67"/>
      <c r="E20" s="3"/>
      <c r="F20" s="3">
        <v>5.0</v>
      </c>
    </row>
    <row r="21">
      <c r="B21" s="59" t="s">
        <v>150</v>
      </c>
      <c r="C21" s="59">
        <v>8.0</v>
      </c>
      <c r="D21" s="67"/>
      <c r="E21" s="3"/>
      <c r="F21" s="3">
        <v>30.0</v>
      </c>
    </row>
    <row r="22">
      <c r="B22" s="59"/>
      <c r="C22" s="59"/>
      <c r="D22" s="67"/>
      <c r="E22" s="3"/>
      <c r="F22" s="3">
        <v>5.0</v>
      </c>
    </row>
    <row r="23">
      <c r="B23" s="59" t="s">
        <v>100</v>
      </c>
      <c r="C23" s="59"/>
      <c r="D23" s="67" t="s">
        <v>46</v>
      </c>
      <c r="E23" s="3" t="s">
        <v>46</v>
      </c>
    </row>
    <row r="24">
      <c r="B24" s="132"/>
      <c r="C24" s="59"/>
      <c r="D24" s="67">
        <v>12.0</v>
      </c>
      <c r="E24" s="3">
        <v>15.0</v>
      </c>
    </row>
    <row r="25">
      <c r="B25" s="59" t="s">
        <v>100</v>
      </c>
      <c r="C25" s="59"/>
      <c r="D25" s="67" t="s">
        <v>46</v>
      </c>
      <c r="E25" s="3" t="s">
        <v>46</v>
      </c>
    </row>
    <row r="26">
      <c r="B26" s="132"/>
      <c r="C26" s="59"/>
      <c r="D26" s="67">
        <v>12.0</v>
      </c>
      <c r="E26" s="3">
        <v>15.0</v>
      </c>
    </row>
    <row r="27">
      <c r="B27" s="59" t="s">
        <v>100</v>
      </c>
      <c r="C27" s="59"/>
      <c r="D27" s="67" t="s">
        <v>46</v>
      </c>
      <c r="E27" s="3" t="s">
        <v>46</v>
      </c>
    </row>
    <row r="28">
      <c r="B28" s="132"/>
      <c r="C28" s="59"/>
      <c r="D28" s="67">
        <v>12.0</v>
      </c>
      <c r="E28" s="3">
        <v>15.0</v>
      </c>
    </row>
    <row r="29">
      <c r="B29" s="59" t="s">
        <v>69</v>
      </c>
      <c r="C29" s="59"/>
      <c r="D29" s="67" t="s">
        <v>44</v>
      </c>
      <c r="E29" s="67" t="s">
        <v>44</v>
      </c>
    </row>
    <row r="30">
      <c r="B30" s="132"/>
      <c r="C30" s="59"/>
      <c r="D30" s="67">
        <v>12.0</v>
      </c>
      <c r="E30" s="3">
        <v>15.0</v>
      </c>
    </row>
    <row r="31">
      <c r="B31" s="59" t="s">
        <v>69</v>
      </c>
      <c r="C31" s="59"/>
      <c r="D31" s="67" t="s">
        <v>44</v>
      </c>
      <c r="E31" s="67" t="s">
        <v>44</v>
      </c>
      <c r="F31" s="3"/>
      <c r="G31" s="3"/>
    </row>
    <row r="32">
      <c r="B32" s="132"/>
      <c r="C32" s="59"/>
      <c r="D32" s="67">
        <v>12.0</v>
      </c>
      <c r="E32" s="3">
        <v>15.0</v>
      </c>
    </row>
    <row r="33">
      <c r="B33" s="59" t="s">
        <v>69</v>
      </c>
      <c r="C33" s="59"/>
      <c r="D33" s="67" t="s">
        <v>44</v>
      </c>
      <c r="E33" s="67" t="s">
        <v>44</v>
      </c>
    </row>
    <row r="34">
      <c r="B34" s="132"/>
      <c r="C34" s="59"/>
      <c r="D34" s="67">
        <v>12.0</v>
      </c>
      <c r="E34" s="3">
        <v>15.0</v>
      </c>
    </row>
    <row r="35">
      <c r="B35" s="59" t="s">
        <v>72</v>
      </c>
      <c r="C35" s="59"/>
      <c r="D35" s="67"/>
      <c r="F35" s="3">
        <v>6.0</v>
      </c>
    </row>
    <row r="36">
      <c r="B36" s="59"/>
      <c r="C36" s="59"/>
      <c r="D36" s="67"/>
      <c r="F36" s="3">
        <v>15.0</v>
      </c>
    </row>
    <row r="37">
      <c r="B37" s="59" t="s">
        <v>72</v>
      </c>
      <c r="C37" s="59"/>
      <c r="D37" s="67"/>
      <c r="F37" s="3">
        <v>6.0</v>
      </c>
    </row>
    <row r="38">
      <c r="B38" s="59"/>
      <c r="C38" s="59"/>
      <c r="D38" s="67"/>
      <c r="F38" s="3">
        <v>15.0</v>
      </c>
    </row>
    <row r="39">
      <c r="B39" s="59" t="s">
        <v>72</v>
      </c>
      <c r="C39" s="59"/>
      <c r="D39" s="67"/>
      <c r="F39" s="3">
        <v>6.0</v>
      </c>
    </row>
    <row r="40">
      <c r="B40" s="59"/>
      <c r="C40" s="59"/>
      <c r="D40" s="67"/>
      <c r="F40" s="3">
        <v>15.0</v>
      </c>
    </row>
    <row r="41">
      <c r="B41" s="59" t="s">
        <v>151</v>
      </c>
      <c r="C41" s="59"/>
      <c r="D41" s="67">
        <v>5.0</v>
      </c>
    </row>
    <row r="42">
      <c r="B42" s="132"/>
      <c r="C42" s="59"/>
      <c r="D42" s="67">
        <v>10.0</v>
      </c>
    </row>
    <row r="43">
      <c r="B43" s="59" t="s">
        <v>151</v>
      </c>
      <c r="C43" s="59"/>
      <c r="D43" s="67">
        <v>5.0</v>
      </c>
    </row>
    <row r="44">
      <c r="B44" s="59"/>
      <c r="C44" s="59"/>
      <c r="D44" s="67">
        <v>10.0</v>
      </c>
    </row>
    <row r="45">
      <c r="B45" s="59" t="s">
        <v>151</v>
      </c>
      <c r="C45" s="59"/>
      <c r="D45" s="67"/>
    </row>
    <row r="46">
      <c r="B46" s="59"/>
      <c r="C46" s="59"/>
      <c r="D46" s="67"/>
    </row>
    <row r="47">
      <c r="B47" s="59" t="s">
        <v>59</v>
      </c>
      <c r="C47" s="132"/>
      <c r="D47" s="3">
        <v>12.0</v>
      </c>
      <c r="E47" s="3">
        <v>12.0</v>
      </c>
      <c r="F47" s="3">
        <v>12.0</v>
      </c>
    </row>
    <row r="48">
      <c r="B48" s="132"/>
      <c r="C48" s="132"/>
      <c r="D48" s="3">
        <v>12.0</v>
      </c>
      <c r="E48" s="3">
        <v>12.0</v>
      </c>
      <c r="F48" s="3">
        <v>12.0</v>
      </c>
    </row>
    <row r="49">
      <c r="B49" s="59" t="s">
        <v>59</v>
      </c>
      <c r="C49" s="132"/>
      <c r="D49" s="3">
        <v>12.0</v>
      </c>
      <c r="E49" s="3">
        <v>12.0</v>
      </c>
      <c r="F49" s="3">
        <v>12.0</v>
      </c>
    </row>
    <row r="50">
      <c r="B50" s="132"/>
      <c r="C50" s="132"/>
      <c r="D50" s="3">
        <v>12.0</v>
      </c>
      <c r="E50" s="3">
        <v>12.0</v>
      </c>
      <c r="F50" s="3">
        <v>12.0</v>
      </c>
    </row>
    <row r="51">
      <c r="B51" s="59" t="s">
        <v>59</v>
      </c>
      <c r="C51" s="132"/>
      <c r="D51" s="3">
        <v>12.0</v>
      </c>
      <c r="E51" s="3">
        <v>12.0</v>
      </c>
      <c r="F51" s="3">
        <v>12.0</v>
      </c>
    </row>
    <row r="52">
      <c r="B52" s="132"/>
      <c r="C52" s="132"/>
      <c r="D52" s="3">
        <v>22.0</v>
      </c>
      <c r="E52" s="3">
        <v>25.0</v>
      </c>
      <c r="F52" s="3">
        <v>28.0</v>
      </c>
    </row>
    <row r="53">
      <c r="B53" s="59" t="s">
        <v>115</v>
      </c>
      <c r="C53" s="59">
        <v>4.6</v>
      </c>
      <c r="E53" s="3">
        <v>14.5</v>
      </c>
    </row>
    <row r="54">
      <c r="B54" s="126"/>
      <c r="C54" s="132"/>
      <c r="E54" s="3">
        <v>20.0</v>
      </c>
    </row>
    <row r="55">
      <c r="B55" s="126" t="s">
        <v>62</v>
      </c>
      <c r="C55" s="13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18" width="4.38"/>
    <col customWidth="1" min="19" max="19" width="8.38"/>
  </cols>
  <sheetData>
    <row r="1">
      <c r="A1" s="3" t="s">
        <v>128</v>
      </c>
      <c r="B1" s="59" t="s">
        <v>79</v>
      </c>
      <c r="C1" s="130"/>
      <c r="D1" s="75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128</v>
      </c>
      <c r="N1" s="75" t="s">
        <v>128</v>
      </c>
      <c r="O1" s="75" t="s">
        <v>128</v>
      </c>
      <c r="P1" s="75" t="s">
        <v>128</v>
      </c>
      <c r="Q1" s="75" t="s">
        <v>128</v>
      </c>
      <c r="R1" s="75"/>
      <c r="S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>
        <v>45990.0</v>
      </c>
      <c r="N3" s="84">
        <v>45992.0</v>
      </c>
      <c r="O3" s="84">
        <v>45994.0</v>
      </c>
      <c r="P3" s="84">
        <v>45996.0</v>
      </c>
      <c r="Q3" s="84">
        <v>45999.0</v>
      </c>
      <c r="R3" s="84">
        <v>46001.0</v>
      </c>
      <c r="S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  <c r="M4" s="3">
        <v>69.3</v>
      </c>
      <c r="N4" s="3">
        <v>69.0</v>
      </c>
      <c r="O4" s="3">
        <v>69.1</v>
      </c>
      <c r="P4" s="3">
        <v>68.5</v>
      </c>
      <c r="Q4" s="3">
        <v>68.2</v>
      </c>
      <c r="R4" s="3">
        <v>68.8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36">
        <v>51.5</v>
      </c>
      <c r="N5" s="136">
        <v>49.5</v>
      </c>
      <c r="O5" s="136">
        <v>59.5</v>
      </c>
      <c r="P5" s="136">
        <v>50.0</v>
      </c>
      <c r="Q5" s="136">
        <v>56.5</v>
      </c>
      <c r="R5" s="136">
        <v>50.0</v>
      </c>
      <c r="S5" s="161">
        <v>62.0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3">
        <v>5.0</v>
      </c>
      <c r="N6" s="3">
        <v>3.0</v>
      </c>
      <c r="O6" s="3">
        <v>3.0</v>
      </c>
      <c r="P6" s="3">
        <v>3.0</v>
      </c>
      <c r="Q6" s="3">
        <v>3.0</v>
      </c>
      <c r="R6" s="3">
        <v>3.0</v>
      </c>
      <c r="S6" s="141" t="s">
        <v>152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3">
        <v>51.5</v>
      </c>
      <c r="N7" s="3">
        <v>49.5</v>
      </c>
      <c r="O7" s="79">
        <v>59.5</v>
      </c>
      <c r="P7" s="3">
        <v>50.0</v>
      </c>
      <c r="Q7" s="3">
        <v>56.5</v>
      </c>
      <c r="R7" s="3">
        <v>50.0</v>
      </c>
      <c r="S7" s="141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3">
        <v>5.0</v>
      </c>
      <c r="N8" s="3">
        <v>3.0</v>
      </c>
      <c r="O8" s="79">
        <v>3.0</v>
      </c>
      <c r="P8" s="3">
        <v>3.0</v>
      </c>
      <c r="Q8" s="3">
        <v>3.0</v>
      </c>
      <c r="R8" s="3">
        <v>3.0</v>
      </c>
      <c r="S8" s="141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3">
        <v>51.5</v>
      </c>
      <c r="N9" s="3">
        <v>49.5</v>
      </c>
      <c r="O9" s="3">
        <v>55.0</v>
      </c>
      <c r="P9" s="3">
        <v>50.0</v>
      </c>
      <c r="Q9" s="174">
        <v>56.5</v>
      </c>
      <c r="R9" s="3">
        <v>50.0</v>
      </c>
      <c r="S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3">
        <v>5.0</v>
      </c>
      <c r="N10" s="3">
        <v>3.0</v>
      </c>
      <c r="O10" s="3">
        <v>4.0</v>
      </c>
      <c r="P10" s="3">
        <v>3.0</v>
      </c>
      <c r="Q10" s="174">
        <v>3.0</v>
      </c>
      <c r="R10" s="3">
        <v>3.0</v>
      </c>
      <c r="S10" s="139"/>
    </row>
    <row r="11">
      <c r="A11" s="174" t="s">
        <v>153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3">
        <v>51.5</v>
      </c>
      <c r="N11" s="3">
        <v>49.5</v>
      </c>
      <c r="O11" s="3">
        <v>55.0</v>
      </c>
      <c r="P11" s="3">
        <v>50.0</v>
      </c>
      <c r="Q11" s="50"/>
      <c r="R11" s="3">
        <v>50.0</v>
      </c>
      <c r="S11" s="139"/>
    </row>
    <row r="12">
      <c r="A12" s="80" t="s">
        <v>154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3">
        <v>5.0</v>
      </c>
      <c r="N12" s="3">
        <v>3.0</v>
      </c>
      <c r="O12" s="3">
        <v>4.0</v>
      </c>
      <c r="P12" s="3">
        <v>3.0</v>
      </c>
      <c r="Q12" s="50"/>
      <c r="R12" s="3">
        <v>3.0</v>
      </c>
      <c r="S12" s="139"/>
    </row>
    <row r="13">
      <c r="A13" s="79" t="s">
        <v>155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80">
        <v>51.5</v>
      </c>
      <c r="N13" s="3">
        <v>49.5</v>
      </c>
      <c r="O13" s="80">
        <v>55.0</v>
      </c>
      <c r="P13" s="3">
        <v>50.0</v>
      </c>
      <c r="Q13" s="50"/>
      <c r="R13" s="3">
        <v>50.0</v>
      </c>
      <c r="S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80">
        <v>5.0</v>
      </c>
      <c r="N14" s="3">
        <v>3.0</v>
      </c>
      <c r="O14" s="80">
        <v>4.0</v>
      </c>
      <c r="P14" s="3">
        <v>3.0</v>
      </c>
      <c r="Q14" s="50"/>
      <c r="R14" s="3">
        <v>3.0</v>
      </c>
      <c r="S14" s="139"/>
    </row>
    <row r="15">
      <c r="B15" s="140" t="s">
        <v>56</v>
      </c>
      <c r="C15" s="59">
        <v>8.0</v>
      </c>
      <c r="D15" s="80">
        <v>49.5</v>
      </c>
      <c r="E15" s="174">
        <v>49.5</v>
      </c>
      <c r="F15" s="174">
        <v>49.5</v>
      </c>
      <c r="G15" s="80">
        <v>51.5</v>
      </c>
      <c r="H15" s="174">
        <v>51.5</v>
      </c>
      <c r="I15" s="79">
        <v>51.5</v>
      </c>
      <c r="J15" s="174">
        <v>53.0</v>
      </c>
      <c r="K15" s="80">
        <v>51.5</v>
      </c>
      <c r="L15" s="174">
        <v>53.0</v>
      </c>
      <c r="M15" s="50"/>
      <c r="N15" s="174">
        <v>49.5</v>
      </c>
      <c r="O15" s="50"/>
      <c r="P15" s="174">
        <v>50.0</v>
      </c>
      <c r="Q15" s="50"/>
      <c r="R15" s="174">
        <v>50.0</v>
      </c>
      <c r="S15" s="139"/>
    </row>
    <row r="16">
      <c r="B16" s="144"/>
      <c r="C16" s="145"/>
      <c r="D16" s="175">
        <v>3.0</v>
      </c>
      <c r="E16" s="176">
        <v>4.0</v>
      </c>
      <c r="F16" s="176">
        <v>3.0</v>
      </c>
      <c r="G16" s="175">
        <v>5.0</v>
      </c>
      <c r="H16" s="176">
        <v>3.0</v>
      </c>
      <c r="I16" s="177">
        <v>6.0</v>
      </c>
      <c r="J16" s="176">
        <v>3.0</v>
      </c>
      <c r="K16" s="175">
        <v>6.0</v>
      </c>
      <c r="L16" s="176">
        <v>3.0</v>
      </c>
      <c r="M16" s="178"/>
      <c r="N16" s="176">
        <v>3.0</v>
      </c>
      <c r="O16" s="178"/>
      <c r="P16" s="176">
        <v>3.0</v>
      </c>
      <c r="Q16" s="178"/>
      <c r="R16" s="176">
        <v>3.0</v>
      </c>
      <c r="S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3">
        <v>45.0</v>
      </c>
      <c r="N17" s="50"/>
      <c r="O17" s="3">
        <v>45.0</v>
      </c>
      <c r="P17" s="3">
        <v>45.0</v>
      </c>
      <c r="Q17" s="49"/>
      <c r="R17" s="3">
        <v>45.0</v>
      </c>
      <c r="S17" s="141">
        <v>48.5</v>
      </c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3">
        <v>6.0</v>
      </c>
      <c r="N18" s="49"/>
      <c r="O18" s="80">
        <v>8.0</v>
      </c>
      <c r="P18" s="3">
        <v>5.0</v>
      </c>
      <c r="Q18" s="49"/>
      <c r="R18" s="3">
        <v>5.0</v>
      </c>
      <c r="S18" s="141" t="s">
        <v>156</v>
      </c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3">
        <v>45.0</v>
      </c>
      <c r="N19" s="50"/>
      <c r="O19" s="3">
        <v>45.0</v>
      </c>
      <c r="P19" s="3">
        <v>45.0</v>
      </c>
      <c r="Q19" s="50"/>
      <c r="R19" s="3">
        <v>45.0</v>
      </c>
      <c r="S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3">
        <v>6.0</v>
      </c>
      <c r="N20" s="50"/>
      <c r="O20" s="3">
        <v>8.0</v>
      </c>
      <c r="P20" s="3">
        <v>5.0</v>
      </c>
      <c r="Q20" s="50"/>
      <c r="R20" s="3">
        <v>5.0</v>
      </c>
      <c r="S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3">
        <v>45.0</v>
      </c>
      <c r="N21" s="50"/>
      <c r="O21" s="3">
        <v>45.0</v>
      </c>
      <c r="P21" s="3">
        <v>45.0</v>
      </c>
      <c r="Q21" s="50"/>
      <c r="R21" s="3">
        <v>45.0</v>
      </c>
      <c r="S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3">
        <v>6.0</v>
      </c>
      <c r="N22" s="50"/>
      <c r="O22" s="3">
        <v>8.0</v>
      </c>
      <c r="P22" s="3">
        <v>5.0</v>
      </c>
      <c r="Q22" s="50"/>
      <c r="R22" s="3">
        <v>5.0</v>
      </c>
      <c r="S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74">
        <v>43.5</v>
      </c>
      <c r="K23" s="49"/>
      <c r="L23" s="174">
        <v>43.5</v>
      </c>
      <c r="M23" s="80">
        <v>45.0</v>
      </c>
      <c r="N23" s="49"/>
      <c r="O23" s="79">
        <v>45.0</v>
      </c>
      <c r="P23" s="174">
        <v>45.0</v>
      </c>
      <c r="Q23" s="49"/>
      <c r="R23" s="174">
        <v>45.0</v>
      </c>
      <c r="S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74">
        <v>6.0</v>
      </c>
      <c r="K24" s="50"/>
      <c r="L24" s="174">
        <v>6.0</v>
      </c>
      <c r="M24" s="80">
        <v>6.0</v>
      </c>
      <c r="N24" s="50"/>
      <c r="O24" s="79">
        <v>8.0</v>
      </c>
      <c r="P24" s="174">
        <v>5.0</v>
      </c>
      <c r="Q24" s="50"/>
      <c r="R24" s="174">
        <v>5.0</v>
      </c>
      <c r="S24" s="139"/>
    </row>
    <row r="25">
      <c r="B25" s="179" t="s">
        <v>83</v>
      </c>
      <c r="C25" s="180">
        <v>8.0</v>
      </c>
      <c r="D25" s="181"/>
      <c r="E25" s="136">
        <v>22.5</v>
      </c>
      <c r="F25" s="182"/>
      <c r="G25" s="182"/>
      <c r="H25" s="136">
        <v>23.0</v>
      </c>
      <c r="I25" s="182"/>
      <c r="J25" s="182"/>
      <c r="K25" s="136">
        <v>25.0</v>
      </c>
      <c r="L25" s="182"/>
      <c r="M25" s="182"/>
      <c r="N25" s="136">
        <v>25.0</v>
      </c>
      <c r="O25" s="182"/>
      <c r="P25" s="182"/>
      <c r="Q25" s="136">
        <v>27.0</v>
      </c>
      <c r="R25" s="183"/>
      <c r="S25" s="184"/>
    </row>
    <row r="26">
      <c r="B26" s="185"/>
      <c r="C26" s="33"/>
      <c r="D26" s="50"/>
      <c r="E26" s="3">
        <v>8.0</v>
      </c>
      <c r="F26" s="49"/>
      <c r="G26" s="49"/>
      <c r="H26" s="3">
        <v>8.0</v>
      </c>
      <c r="I26" s="49"/>
      <c r="J26" s="49"/>
      <c r="K26" s="3">
        <v>6.0</v>
      </c>
      <c r="L26" s="49"/>
      <c r="M26" s="49"/>
      <c r="N26" s="3">
        <v>6.0</v>
      </c>
      <c r="O26" s="49"/>
      <c r="P26" s="49"/>
      <c r="Q26" s="3">
        <v>5.0</v>
      </c>
      <c r="R26" s="186"/>
      <c r="S26" s="187"/>
    </row>
    <row r="27">
      <c r="B27" s="188" t="s">
        <v>83</v>
      </c>
      <c r="C27" s="189">
        <v>8.0</v>
      </c>
      <c r="D27" s="49"/>
      <c r="E27" s="3">
        <v>22.5</v>
      </c>
      <c r="F27" s="49"/>
      <c r="G27" s="49"/>
      <c r="H27" s="3">
        <v>23.0</v>
      </c>
      <c r="I27" s="49"/>
      <c r="J27" s="49"/>
      <c r="K27" s="3">
        <v>25.0</v>
      </c>
      <c r="L27" s="49"/>
      <c r="M27" s="49"/>
      <c r="N27" s="3">
        <v>25.0</v>
      </c>
      <c r="O27" s="49"/>
      <c r="P27" s="49"/>
      <c r="Q27" s="3">
        <v>27.0</v>
      </c>
      <c r="R27" s="186"/>
      <c r="S27" s="187"/>
    </row>
    <row r="28">
      <c r="B28" s="185"/>
      <c r="C28" s="33"/>
      <c r="D28" s="50"/>
      <c r="E28" s="3">
        <v>8.0</v>
      </c>
      <c r="F28" s="50"/>
      <c r="G28" s="50"/>
      <c r="H28" s="3">
        <v>8.0</v>
      </c>
      <c r="I28" s="50"/>
      <c r="J28" s="50"/>
      <c r="K28" s="3">
        <v>6.0</v>
      </c>
      <c r="L28" s="50"/>
      <c r="M28" s="50"/>
      <c r="N28" s="3">
        <v>6.0</v>
      </c>
      <c r="O28" s="50"/>
      <c r="P28" s="50"/>
      <c r="Q28" s="3">
        <v>5.0</v>
      </c>
      <c r="R28" s="190"/>
      <c r="S28" s="191"/>
    </row>
    <row r="29">
      <c r="B29" s="188" t="s">
        <v>83</v>
      </c>
      <c r="C29" s="189">
        <v>8.0</v>
      </c>
      <c r="D29" s="50"/>
      <c r="E29" s="3">
        <v>22.5</v>
      </c>
      <c r="F29" s="50"/>
      <c r="G29" s="50"/>
      <c r="H29" s="3">
        <v>23.0</v>
      </c>
      <c r="I29" s="50"/>
      <c r="J29" s="50"/>
      <c r="K29" s="3">
        <v>25.0</v>
      </c>
      <c r="L29" s="50"/>
      <c r="M29" s="50"/>
      <c r="N29" s="3">
        <v>25.0</v>
      </c>
      <c r="O29" s="50"/>
      <c r="P29" s="50"/>
      <c r="Q29" s="80">
        <v>27.0</v>
      </c>
      <c r="R29" s="190"/>
      <c r="S29" s="191"/>
    </row>
    <row r="30">
      <c r="B30" s="185"/>
      <c r="C30" s="33"/>
      <c r="D30" s="49"/>
      <c r="E30" s="3">
        <v>8.0</v>
      </c>
      <c r="F30" s="49"/>
      <c r="G30" s="49"/>
      <c r="H30" s="3">
        <v>8.0</v>
      </c>
      <c r="I30" s="49"/>
      <c r="J30" s="49"/>
      <c r="K30" s="3">
        <v>6.0</v>
      </c>
      <c r="L30" s="49"/>
      <c r="M30" s="49"/>
      <c r="N30" s="3">
        <v>6.0</v>
      </c>
      <c r="O30" s="49"/>
      <c r="P30" s="49"/>
      <c r="Q30" s="80">
        <v>5.0</v>
      </c>
      <c r="R30" s="186"/>
      <c r="S30" s="187"/>
    </row>
    <row r="31">
      <c r="B31" s="188" t="s">
        <v>83</v>
      </c>
      <c r="C31" s="189">
        <v>8.0</v>
      </c>
      <c r="D31" s="49"/>
      <c r="E31" s="79">
        <v>22.5</v>
      </c>
      <c r="F31" s="49"/>
      <c r="G31" s="49"/>
      <c r="H31" s="79">
        <v>23.0</v>
      </c>
      <c r="I31" s="49"/>
      <c r="J31" s="49"/>
      <c r="K31" s="80">
        <v>25.0</v>
      </c>
      <c r="L31" s="49"/>
      <c r="M31" s="49"/>
      <c r="N31" s="174">
        <v>25.0</v>
      </c>
      <c r="O31" s="49"/>
      <c r="P31" s="49"/>
      <c r="Q31" s="49"/>
      <c r="R31" s="186"/>
      <c r="S31" s="187"/>
    </row>
    <row r="32">
      <c r="B32" s="185"/>
      <c r="C32" s="33"/>
      <c r="D32" s="49"/>
      <c r="E32" s="79">
        <v>8.0</v>
      </c>
      <c r="F32" s="49"/>
      <c r="G32" s="49"/>
      <c r="H32" s="79">
        <v>8.0</v>
      </c>
      <c r="I32" s="49"/>
      <c r="J32" s="49"/>
      <c r="K32" s="80">
        <v>6.0</v>
      </c>
      <c r="L32" s="49"/>
      <c r="M32" s="49"/>
      <c r="N32" s="174">
        <v>6.0</v>
      </c>
      <c r="O32" s="49"/>
      <c r="P32" s="49"/>
      <c r="Q32" s="49"/>
      <c r="R32" s="186"/>
      <c r="S32" s="187"/>
    </row>
    <row r="33">
      <c r="B33" s="133" t="s">
        <v>84</v>
      </c>
      <c r="C33" s="134"/>
      <c r="D33" s="135">
        <v>7.5</v>
      </c>
      <c r="E33" s="181"/>
      <c r="F33" s="136">
        <v>7.5</v>
      </c>
      <c r="G33" s="136">
        <v>10.0</v>
      </c>
      <c r="H33" s="182"/>
      <c r="I33" s="136">
        <v>10.0</v>
      </c>
      <c r="J33" s="136">
        <v>10.5</v>
      </c>
      <c r="K33" s="182"/>
      <c r="L33" s="136">
        <v>10.5</v>
      </c>
      <c r="M33" s="136">
        <v>11.0</v>
      </c>
      <c r="N33" s="182"/>
      <c r="O33" s="136">
        <v>11.0</v>
      </c>
      <c r="P33" s="136">
        <v>12.0</v>
      </c>
      <c r="Q33" s="182"/>
      <c r="R33" s="136">
        <v>12.0</v>
      </c>
      <c r="S33" s="161">
        <v>12.0</v>
      </c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49"/>
      <c r="I34" s="3">
        <v>10.0</v>
      </c>
      <c r="J34" s="3">
        <v>10.0</v>
      </c>
      <c r="K34" s="49"/>
      <c r="L34" s="3">
        <v>10.0</v>
      </c>
      <c r="M34" s="3">
        <v>10.0</v>
      </c>
      <c r="N34" s="49"/>
      <c r="O34" s="3">
        <v>10.0</v>
      </c>
      <c r="P34" s="3">
        <v>10.0</v>
      </c>
      <c r="Q34" s="49"/>
      <c r="R34" s="3">
        <v>10.0</v>
      </c>
      <c r="S34" s="141"/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50"/>
      <c r="I35" s="3">
        <v>10.0</v>
      </c>
      <c r="J35" s="3">
        <v>10.5</v>
      </c>
      <c r="K35" s="50"/>
      <c r="L35" s="3">
        <v>10.5</v>
      </c>
      <c r="M35" s="3">
        <v>11.0</v>
      </c>
      <c r="N35" s="50"/>
      <c r="O35" s="3">
        <v>11.0</v>
      </c>
      <c r="P35" s="3">
        <v>12.0</v>
      </c>
      <c r="Q35" s="50"/>
      <c r="R35" s="3">
        <v>12.0</v>
      </c>
      <c r="S35" s="139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50"/>
      <c r="I36" s="3">
        <v>10.0</v>
      </c>
      <c r="J36" s="3">
        <v>10.0</v>
      </c>
      <c r="K36" s="50"/>
      <c r="L36" s="3">
        <v>10.0</v>
      </c>
      <c r="M36" s="3">
        <v>10.0</v>
      </c>
      <c r="N36" s="50"/>
      <c r="O36" s="3">
        <v>10.0</v>
      </c>
      <c r="P36" s="3">
        <v>10.0</v>
      </c>
      <c r="Q36" s="50"/>
      <c r="R36" s="3">
        <v>10.0</v>
      </c>
      <c r="S36" s="139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3">
        <v>11.0</v>
      </c>
      <c r="N37" s="50"/>
      <c r="O37" s="3">
        <v>11.0</v>
      </c>
      <c r="P37" s="3">
        <v>12.0</v>
      </c>
      <c r="Q37" s="50"/>
      <c r="R37" s="3">
        <v>12.0</v>
      </c>
      <c r="S37" s="139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3">
        <v>10.0</v>
      </c>
      <c r="N38" s="50"/>
      <c r="O38" s="3">
        <v>10.0</v>
      </c>
      <c r="P38" s="3">
        <v>10.0</v>
      </c>
      <c r="Q38" s="50"/>
      <c r="R38" s="3">
        <v>10.0</v>
      </c>
      <c r="S38" s="139"/>
    </row>
    <row r="39">
      <c r="B39" s="133" t="s">
        <v>147</v>
      </c>
      <c r="C39" s="134">
        <v>4.6</v>
      </c>
      <c r="D39" s="135">
        <v>14.0</v>
      </c>
      <c r="E39" s="181"/>
      <c r="F39" s="136">
        <v>14.0</v>
      </c>
      <c r="G39" s="136">
        <v>14.5</v>
      </c>
      <c r="H39" s="182"/>
      <c r="I39" s="136">
        <v>14.5</v>
      </c>
      <c r="J39" s="136">
        <v>15.0</v>
      </c>
      <c r="K39" s="182"/>
      <c r="L39" s="136">
        <v>15.0</v>
      </c>
      <c r="M39" s="136">
        <v>15.5</v>
      </c>
      <c r="N39" s="182"/>
      <c r="O39" s="136">
        <v>15.5</v>
      </c>
      <c r="P39" s="136">
        <v>16.0</v>
      </c>
      <c r="Q39" s="182"/>
      <c r="R39" s="136">
        <v>16.0</v>
      </c>
      <c r="S39" s="161">
        <v>16.0</v>
      </c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49"/>
      <c r="I40" s="3">
        <v>15.0</v>
      </c>
      <c r="J40" s="3">
        <v>15.0</v>
      </c>
      <c r="K40" s="49"/>
      <c r="L40" s="3">
        <v>15.0</v>
      </c>
      <c r="M40" s="3">
        <v>15.0</v>
      </c>
      <c r="N40" s="49"/>
      <c r="O40" s="3">
        <v>15.0</v>
      </c>
      <c r="P40" s="3">
        <v>15.0</v>
      </c>
      <c r="Q40" s="49"/>
      <c r="R40" s="3">
        <v>15.0</v>
      </c>
      <c r="S40" s="141"/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50"/>
      <c r="I41" s="3">
        <v>14.5</v>
      </c>
      <c r="J41" s="3">
        <v>15.0</v>
      </c>
      <c r="K41" s="50"/>
      <c r="L41" s="3">
        <v>15.0</v>
      </c>
      <c r="M41" s="3">
        <v>15.5</v>
      </c>
      <c r="N41" s="50"/>
      <c r="O41" s="3">
        <v>15.5</v>
      </c>
      <c r="P41" s="3">
        <v>16.0</v>
      </c>
      <c r="Q41" s="50"/>
      <c r="R41" s="3">
        <v>16.0</v>
      </c>
      <c r="S41" s="13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50"/>
      <c r="I42" s="3">
        <v>15.0</v>
      </c>
      <c r="J42" s="3">
        <v>15.0</v>
      </c>
      <c r="K42" s="50"/>
      <c r="L42" s="3">
        <v>15.0</v>
      </c>
      <c r="M42" s="3">
        <v>15.0</v>
      </c>
      <c r="N42" s="50"/>
      <c r="O42" s="3">
        <v>15.0</v>
      </c>
      <c r="P42" s="3">
        <v>15.0</v>
      </c>
      <c r="Q42" s="50"/>
      <c r="R42" s="3">
        <v>15.0</v>
      </c>
      <c r="S42" s="139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3">
        <v>15.5</v>
      </c>
      <c r="N43" s="50"/>
      <c r="O43" s="3">
        <v>15.5</v>
      </c>
      <c r="P43" s="3">
        <v>16.0</v>
      </c>
      <c r="Q43" s="50"/>
      <c r="R43" s="3">
        <v>16.0</v>
      </c>
      <c r="S43" s="139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3">
        <v>15.0</v>
      </c>
      <c r="N44" s="50"/>
      <c r="O44" s="3">
        <v>15.0</v>
      </c>
      <c r="P44" s="3">
        <v>15.0</v>
      </c>
      <c r="Q44" s="50"/>
      <c r="R44" s="3">
        <v>15.0</v>
      </c>
      <c r="S44" s="139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3">
        <v>15.5</v>
      </c>
      <c r="N45" s="50"/>
      <c r="O45" s="3">
        <v>15.5</v>
      </c>
      <c r="P45" s="3">
        <v>16.0</v>
      </c>
      <c r="Q45" s="50"/>
      <c r="R45" s="3">
        <v>16.0</v>
      </c>
      <c r="S45" s="139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3">
        <v>15.0</v>
      </c>
      <c r="N46" s="50"/>
      <c r="O46" s="3">
        <v>15.0</v>
      </c>
      <c r="P46" s="3">
        <v>15.0</v>
      </c>
      <c r="Q46" s="50"/>
      <c r="R46" s="3">
        <v>15.0</v>
      </c>
      <c r="S46" s="139"/>
    </row>
    <row r="47">
      <c r="B47" s="133" t="s">
        <v>73</v>
      </c>
      <c r="C47" s="192"/>
      <c r="D47" s="136">
        <v>5.0</v>
      </c>
      <c r="E47" s="181"/>
      <c r="F47" s="136">
        <v>5.0</v>
      </c>
      <c r="G47" s="136">
        <v>5.0</v>
      </c>
      <c r="H47" s="182"/>
      <c r="I47" s="136">
        <v>5.0</v>
      </c>
      <c r="J47" s="136">
        <v>5.0</v>
      </c>
      <c r="K47" s="182"/>
      <c r="L47" s="136">
        <v>5.5</v>
      </c>
      <c r="M47" s="136">
        <v>6.0</v>
      </c>
      <c r="N47" s="182"/>
      <c r="O47" s="136">
        <v>6.0</v>
      </c>
      <c r="P47" s="136">
        <v>6.0</v>
      </c>
      <c r="Q47" s="182"/>
      <c r="R47" s="136">
        <v>6.0</v>
      </c>
      <c r="S47" s="184"/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49"/>
      <c r="I48" s="3">
        <v>15.0</v>
      </c>
      <c r="J48" s="3">
        <v>15.0</v>
      </c>
      <c r="K48" s="49"/>
      <c r="L48" s="3">
        <v>15.0</v>
      </c>
      <c r="M48" s="3">
        <v>15.0</v>
      </c>
      <c r="N48" s="49"/>
      <c r="O48" s="3">
        <v>15.0</v>
      </c>
      <c r="P48" s="3">
        <v>15.0</v>
      </c>
      <c r="Q48" s="49"/>
      <c r="R48" s="3">
        <v>15.0</v>
      </c>
      <c r="S48" s="187"/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50"/>
      <c r="I49" s="3">
        <v>5.0</v>
      </c>
      <c r="J49" s="3">
        <v>5.0</v>
      </c>
      <c r="K49" s="50"/>
      <c r="L49" s="3">
        <v>5.5</v>
      </c>
      <c r="M49" s="3">
        <v>6.0</v>
      </c>
      <c r="N49" s="50"/>
      <c r="O49" s="3">
        <v>6.0</v>
      </c>
      <c r="P49" s="3">
        <v>6.0</v>
      </c>
      <c r="Q49" s="50"/>
      <c r="R49" s="3">
        <v>6.0</v>
      </c>
      <c r="S49" s="191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50"/>
      <c r="I50" s="3">
        <v>15.0</v>
      </c>
      <c r="J50" s="3">
        <v>15.0</v>
      </c>
      <c r="K50" s="50"/>
      <c r="L50" s="3">
        <v>15.0</v>
      </c>
      <c r="M50" s="3">
        <v>15.0</v>
      </c>
      <c r="N50" s="50"/>
      <c r="O50" s="3">
        <v>15.0</v>
      </c>
      <c r="P50" s="3">
        <v>15.0</v>
      </c>
      <c r="Q50" s="50"/>
      <c r="R50" s="3">
        <v>15.0</v>
      </c>
      <c r="S50" s="191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3">
        <v>6.0</v>
      </c>
      <c r="N51" s="50"/>
      <c r="O51" s="3">
        <v>6.0</v>
      </c>
      <c r="P51" s="3">
        <v>6.0</v>
      </c>
      <c r="Q51" s="50"/>
      <c r="R51" s="3">
        <v>6.0</v>
      </c>
      <c r="S51" s="191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50"/>
      <c r="I52" s="3">
        <v>13.0</v>
      </c>
      <c r="J52" s="3">
        <v>15.0</v>
      </c>
      <c r="K52" s="50"/>
      <c r="L52" s="3">
        <v>15.0</v>
      </c>
      <c r="M52" s="3">
        <v>10.0</v>
      </c>
      <c r="N52" s="50"/>
      <c r="O52" s="3">
        <v>13.0</v>
      </c>
      <c r="P52" s="3">
        <v>15.0</v>
      </c>
      <c r="Q52" s="50"/>
      <c r="R52" s="3">
        <v>15.0</v>
      </c>
      <c r="S52" s="191"/>
    </row>
    <row r="53">
      <c r="A53" s="3" t="s">
        <v>157</v>
      </c>
      <c r="B53" s="179" t="s">
        <v>158</v>
      </c>
      <c r="C53" s="180">
        <v>8.0</v>
      </c>
      <c r="D53" s="181"/>
      <c r="E53" s="136">
        <v>40.0</v>
      </c>
      <c r="F53" s="182"/>
      <c r="G53" s="182"/>
      <c r="H53" s="136">
        <v>41.0</v>
      </c>
      <c r="I53" s="182"/>
      <c r="J53" s="182"/>
      <c r="K53" s="136">
        <v>42.0</v>
      </c>
      <c r="L53" s="182"/>
      <c r="M53" s="182"/>
      <c r="N53" s="136">
        <v>43.0</v>
      </c>
      <c r="O53" s="182"/>
      <c r="P53" s="182"/>
      <c r="Q53" s="136">
        <v>44.0</v>
      </c>
      <c r="R53" s="183"/>
      <c r="S53" s="184"/>
    </row>
    <row r="54">
      <c r="B54" s="185"/>
      <c r="C54" s="33"/>
      <c r="D54" s="50"/>
      <c r="E54" s="3">
        <v>5.0</v>
      </c>
      <c r="F54" s="49"/>
      <c r="G54" s="49"/>
      <c r="H54" s="3">
        <v>5.0</v>
      </c>
      <c r="I54" s="49"/>
      <c r="J54" s="49"/>
      <c r="K54" s="3">
        <v>5.0</v>
      </c>
      <c r="L54" s="49"/>
      <c r="M54" s="49"/>
      <c r="N54" s="3">
        <v>5.0</v>
      </c>
      <c r="O54" s="49"/>
      <c r="P54" s="49"/>
      <c r="Q54" s="3">
        <v>5.0</v>
      </c>
      <c r="R54" s="186"/>
      <c r="S54" s="187"/>
    </row>
    <row r="55">
      <c r="B55" s="188" t="s">
        <v>158</v>
      </c>
      <c r="C55" s="189">
        <v>8.0</v>
      </c>
      <c r="D55" s="50"/>
      <c r="E55" s="3">
        <v>40.0</v>
      </c>
      <c r="F55" s="50"/>
      <c r="G55" s="50"/>
      <c r="H55" s="3">
        <v>41.0</v>
      </c>
      <c r="I55" s="50"/>
      <c r="J55" s="50"/>
      <c r="K55" s="3">
        <v>42.0</v>
      </c>
      <c r="L55" s="50"/>
      <c r="M55" s="50"/>
      <c r="N55" s="3">
        <v>43.0</v>
      </c>
      <c r="O55" s="50"/>
      <c r="P55" s="50"/>
      <c r="Q55" s="3">
        <v>44.0</v>
      </c>
      <c r="R55" s="190"/>
      <c r="S55" s="191"/>
    </row>
    <row r="56">
      <c r="B56" s="185"/>
      <c r="C56" s="33"/>
      <c r="D56" s="50"/>
      <c r="E56" s="3">
        <v>5.0</v>
      </c>
      <c r="F56" s="50"/>
      <c r="G56" s="50"/>
      <c r="H56" s="3">
        <v>5.0</v>
      </c>
      <c r="I56" s="50"/>
      <c r="J56" s="50"/>
      <c r="K56" s="3">
        <v>5.0</v>
      </c>
      <c r="L56" s="50"/>
      <c r="M56" s="50"/>
      <c r="N56" s="3">
        <v>5.0</v>
      </c>
      <c r="O56" s="50"/>
      <c r="P56" s="50"/>
      <c r="Q56" s="3">
        <v>5.0</v>
      </c>
      <c r="R56" s="190"/>
      <c r="S56" s="191"/>
    </row>
    <row r="57">
      <c r="B57" s="188" t="s">
        <v>158</v>
      </c>
      <c r="C57" s="189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50"/>
      <c r="N57" s="3">
        <v>43.0</v>
      </c>
      <c r="O57" s="50"/>
      <c r="P57" s="50"/>
      <c r="Q57" s="3">
        <v>44.0</v>
      </c>
      <c r="R57" s="190"/>
      <c r="S57" s="191"/>
    </row>
    <row r="58">
      <c r="B58" s="185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50"/>
      <c r="N58" s="3">
        <v>5.0</v>
      </c>
      <c r="O58" s="50"/>
      <c r="P58" s="50"/>
      <c r="Q58" s="3">
        <v>5.0</v>
      </c>
      <c r="R58" s="190"/>
      <c r="S58" s="191"/>
    </row>
    <row r="59">
      <c r="B59" s="179" t="s">
        <v>86</v>
      </c>
      <c r="C59" s="193"/>
      <c r="D59" s="181"/>
      <c r="E59" s="136">
        <v>10.0</v>
      </c>
      <c r="F59" s="182"/>
      <c r="G59" s="182"/>
      <c r="H59" s="136">
        <v>12.0</v>
      </c>
      <c r="I59" s="182"/>
      <c r="J59" s="182"/>
      <c r="K59" s="136">
        <v>13.0</v>
      </c>
      <c r="L59" s="182"/>
      <c r="M59" s="182"/>
      <c r="N59" s="136">
        <v>13.0</v>
      </c>
      <c r="O59" s="182"/>
      <c r="P59" s="182"/>
      <c r="Q59" s="136">
        <v>14.0</v>
      </c>
      <c r="R59" s="183"/>
      <c r="S59" s="184"/>
    </row>
    <row r="60">
      <c r="B60" s="185"/>
      <c r="C60" s="33"/>
      <c r="D60" s="50"/>
      <c r="E60" s="3">
        <v>12.0</v>
      </c>
      <c r="F60" s="49"/>
      <c r="G60" s="49"/>
      <c r="H60" s="3">
        <v>10.0</v>
      </c>
      <c r="I60" s="49"/>
      <c r="J60" s="49"/>
      <c r="K60" s="3">
        <v>10.0</v>
      </c>
      <c r="L60" s="49"/>
      <c r="M60" s="49"/>
      <c r="N60" s="3">
        <v>10.0</v>
      </c>
      <c r="O60" s="49"/>
      <c r="P60" s="49"/>
      <c r="Q60" s="3">
        <v>10.0</v>
      </c>
      <c r="R60" s="186"/>
      <c r="S60" s="187"/>
    </row>
    <row r="61">
      <c r="B61" s="188" t="s">
        <v>86</v>
      </c>
      <c r="C61" s="33"/>
      <c r="D61" s="50"/>
      <c r="E61" s="3">
        <v>10.0</v>
      </c>
      <c r="F61" s="50"/>
      <c r="G61" s="50"/>
      <c r="H61" s="3">
        <v>12.0</v>
      </c>
      <c r="I61" s="50"/>
      <c r="J61" s="50"/>
      <c r="K61" s="3">
        <v>13.0</v>
      </c>
      <c r="L61" s="50"/>
      <c r="M61" s="50"/>
      <c r="N61" s="3">
        <v>13.0</v>
      </c>
      <c r="O61" s="50"/>
      <c r="P61" s="50"/>
      <c r="Q61" s="3">
        <v>14.0</v>
      </c>
      <c r="R61" s="190"/>
      <c r="S61" s="191"/>
    </row>
    <row r="62">
      <c r="B62" s="185"/>
      <c r="C62" s="33"/>
      <c r="D62" s="50"/>
      <c r="E62" s="3">
        <v>12.0</v>
      </c>
      <c r="F62" s="50"/>
      <c r="G62" s="50"/>
      <c r="H62" s="3">
        <v>10.0</v>
      </c>
      <c r="I62" s="50"/>
      <c r="J62" s="50"/>
      <c r="K62" s="3">
        <v>10.0</v>
      </c>
      <c r="L62" s="50"/>
      <c r="M62" s="50"/>
      <c r="N62" s="3">
        <v>10.0</v>
      </c>
      <c r="O62" s="50"/>
      <c r="P62" s="50"/>
      <c r="Q62" s="3">
        <v>10.0</v>
      </c>
      <c r="R62" s="190"/>
      <c r="S62" s="191"/>
    </row>
    <row r="63">
      <c r="B63" s="188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50"/>
      <c r="N63" s="3">
        <v>13.0</v>
      </c>
      <c r="O63" s="50"/>
      <c r="P63" s="50"/>
      <c r="Q63" s="3">
        <v>14.0</v>
      </c>
      <c r="R63" s="190"/>
      <c r="S63" s="191"/>
    </row>
    <row r="64">
      <c r="B64" s="185"/>
      <c r="C64" s="33"/>
      <c r="D64" s="50"/>
      <c r="E64" s="3">
        <v>12.0</v>
      </c>
      <c r="F64" s="50"/>
      <c r="G64" s="50"/>
      <c r="H64" s="3">
        <v>12.0</v>
      </c>
      <c r="I64" s="50"/>
      <c r="J64" s="50"/>
      <c r="K64" s="3">
        <v>10.0</v>
      </c>
      <c r="L64" s="50"/>
      <c r="M64" s="50"/>
      <c r="N64" s="3">
        <v>10.0</v>
      </c>
      <c r="O64" s="50"/>
      <c r="P64" s="50"/>
      <c r="Q64" s="3">
        <v>10.0</v>
      </c>
      <c r="R64" s="190"/>
      <c r="S64" s="191"/>
    </row>
    <row r="65">
      <c r="B65" s="179" t="s">
        <v>159</v>
      </c>
      <c r="C65" s="193"/>
      <c r="D65" s="181"/>
      <c r="E65" s="136">
        <v>7.5</v>
      </c>
      <c r="F65" s="182"/>
      <c r="G65" s="182"/>
      <c r="H65" s="136">
        <v>10.0</v>
      </c>
      <c r="I65" s="182"/>
      <c r="J65" s="182"/>
      <c r="K65" s="136">
        <v>10.0</v>
      </c>
      <c r="L65" s="182"/>
      <c r="M65" s="182"/>
      <c r="N65" s="136">
        <v>10.0</v>
      </c>
      <c r="O65" s="182"/>
      <c r="P65" s="182"/>
      <c r="Q65" s="136">
        <v>10.0</v>
      </c>
      <c r="R65" s="182"/>
      <c r="S65" s="161">
        <v>10.0</v>
      </c>
    </row>
    <row r="66">
      <c r="B66" s="185"/>
      <c r="C66" s="33"/>
      <c r="D66" s="50"/>
      <c r="E66" s="3">
        <v>15.0</v>
      </c>
      <c r="F66" s="49"/>
      <c r="G66" s="49"/>
      <c r="H66" s="3">
        <v>12.0</v>
      </c>
      <c r="I66" s="49"/>
      <c r="J66" s="49"/>
      <c r="K66" s="3">
        <v>15.0</v>
      </c>
      <c r="L66" s="49"/>
      <c r="M66" s="49"/>
      <c r="N66" s="3">
        <v>15.0</v>
      </c>
      <c r="O66" s="49"/>
      <c r="P66" s="49"/>
      <c r="Q66" s="3">
        <v>15.0</v>
      </c>
      <c r="R66" s="49"/>
      <c r="S66" s="141">
        <v>15.0</v>
      </c>
    </row>
    <row r="67">
      <c r="B67" s="188" t="s">
        <v>159</v>
      </c>
      <c r="C67" s="33"/>
      <c r="D67" s="50"/>
      <c r="E67" s="3">
        <v>7.5</v>
      </c>
      <c r="F67" s="50"/>
      <c r="G67" s="50"/>
      <c r="H67" s="3">
        <v>10.0</v>
      </c>
      <c r="I67" s="50"/>
      <c r="J67" s="50"/>
      <c r="K67" s="3">
        <v>10.0</v>
      </c>
      <c r="L67" s="50"/>
      <c r="M67" s="50"/>
      <c r="N67" s="3">
        <v>10.0</v>
      </c>
      <c r="O67" s="50"/>
      <c r="P67" s="50"/>
      <c r="Q67" s="3">
        <v>10.0</v>
      </c>
      <c r="R67" s="50"/>
      <c r="S67" s="139"/>
    </row>
    <row r="68">
      <c r="B68" s="185"/>
      <c r="C68" s="33"/>
      <c r="D68" s="50"/>
      <c r="E68" s="3">
        <v>15.0</v>
      </c>
      <c r="F68" s="50"/>
      <c r="G68" s="50"/>
      <c r="H68" s="3">
        <v>12.0</v>
      </c>
      <c r="I68" s="50"/>
      <c r="J68" s="50"/>
      <c r="K68" s="3">
        <v>15.0</v>
      </c>
      <c r="L68" s="50"/>
      <c r="M68" s="50"/>
      <c r="N68" s="3">
        <v>15.0</v>
      </c>
      <c r="O68" s="50"/>
      <c r="P68" s="50"/>
      <c r="Q68" s="3">
        <v>15.0</v>
      </c>
      <c r="R68" s="50"/>
      <c r="S68" s="139"/>
    </row>
    <row r="69">
      <c r="B69" s="188" t="s">
        <v>159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50"/>
      <c r="N69" s="3">
        <v>10.0</v>
      </c>
      <c r="O69" s="50"/>
      <c r="P69" s="50"/>
      <c r="Q69" s="3">
        <v>10.0</v>
      </c>
      <c r="R69" s="50"/>
      <c r="S69" s="139"/>
    </row>
    <row r="70">
      <c r="B70" s="194"/>
      <c r="C70" s="195"/>
      <c r="D70" s="178"/>
      <c r="E70" s="147">
        <v>15.0</v>
      </c>
      <c r="F70" s="178"/>
      <c r="G70" s="178"/>
      <c r="H70" s="147">
        <v>12.0</v>
      </c>
      <c r="I70" s="178"/>
      <c r="J70" s="178"/>
      <c r="K70" s="147">
        <v>15.0</v>
      </c>
      <c r="L70" s="178"/>
      <c r="M70" s="178"/>
      <c r="N70" s="147">
        <v>15.0</v>
      </c>
      <c r="O70" s="178"/>
      <c r="P70" s="178"/>
      <c r="Q70" s="147">
        <v>15.0</v>
      </c>
      <c r="R70" s="178"/>
      <c r="S70" s="149"/>
    </row>
    <row r="71">
      <c r="B71" s="3" t="s">
        <v>62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160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161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161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161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" t="s">
        <v>128</v>
      </c>
      <c r="B1" s="59" t="s">
        <v>162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>
        <v>45995.0</v>
      </c>
      <c r="I3" s="84">
        <v>46000.0</v>
      </c>
      <c r="J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  <c r="H4" s="3">
        <v>68.7</v>
      </c>
      <c r="I4" s="3">
        <v>68.7</v>
      </c>
    </row>
    <row r="5">
      <c r="B5" s="196" t="s">
        <v>68</v>
      </c>
      <c r="C5" s="197">
        <v>8.0</v>
      </c>
      <c r="D5" s="197">
        <v>46.0</v>
      </c>
      <c r="E5" s="198">
        <v>46.0</v>
      </c>
      <c r="F5" s="198">
        <v>43.0</v>
      </c>
      <c r="G5" s="198">
        <v>46.0</v>
      </c>
      <c r="H5" s="199"/>
      <c r="I5" s="198"/>
      <c r="J5" s="200">
        <v>51.0</v>
      </c>
    </row>
    <row r="6">
      <c r="B6" s="201"/>
      <c r="C6" s="202"/>
      <c r="D6" s="202">
        <v>10.0</v>
      </c>
      <c r="E6" s="203">
        <v>10.0</v>
      </c>
      <c r="F6" s="203">
        <v>10.0</v>
      </c>
      <c r="G6" s="203">
        <v>10.0</v>
      </c>
      <c r="H6" s="204"/>
      <c r="I6" s="203"/>
      <c r="J6" s="205">
        <v>8.0</v>
      </c>
    </row>
    <row r="7">
      <c r="B7" s="201" t="s">
        <v>68</v>
      </c>
      <c r="C7" s="202">
        <v>8.0</v>
      </c>
      <c r="D7" s="202">
        <v>55.0</v>
      </c>
      <c r="E7" s="203">
        <v>51.0</v>
      </c>
      <c r="F7" s="203">
        <v>51.0</v>
      </c>
      <c r="G7" s="202">
        <v>55.0</v>
      </c>
      <c r="H7" s="173"/>
      <c r="I7" s="202"/>
      <c r="J7" s="206">
        <v>55.0</v>
      </c>
    </row>
    <row r="8">
      <c r="B8" s="201"/>
      <c r="C8" s="202"/>
      <c r="D8" s="202">
        <v>8.0</v>
      </c>
      <c r="E8" s="203">
        <v>8.0</v>
      </c>
      <c r="F8" s="203">
        <v>8.0</v>
      </c>
      <c r="G8" s="202">
        <v>8.0</v>
      </c>
      <c r="H8" s="173"/>
      <c r="I8" s="202"/>
      <c r="J8" s="206">
        <v>8.0</v>
      </c>
    </row>
    <row r="9">
      <c r="B9" s="201" t="s">
        <v>68</v>
      </c>
      <c r="C9" s="202">
        <v>8.0</v>
      </c>
      <c r="D9" s="202">
        <v>60.0</v>
      </c>
      <c r="E9" s="202">
        <v>55.0</v>
      </c>
      <c r="F9" s="202">
        <v>55.0</v>
      </c>
      <c r="G9" s="202">
        <v>60.0</v>
      </c>
      <c r="H9" s="173"/>
      <c r="I9" s="202"/>
      <c r="J9" s="206">
        <v>64.0</v>
      </c>
    </row>
    <row r="10">
      <c r="B10" s="201"/>
      <c r="C10" s="202"/>
      <c r="D10" s="202">
        <v>6.0</v>
      </c>
      <c r="E10" s="202">
        <v>8.0</v>
      </c>
      <c r="F10" s="202">
        <v>6.0</v>
      </c>
      <c r="G10" s="202">
        <v>8.0</v>
      </c>
      <c r="H10" s="173"/>
      <c r="I10" s="202"/>
      <c r="J10" s="206">
        <v>6.0</v>
      </c>
    </row>
    <row r="11">
      <c r="B11" s="201" t="s">
        <v>68</v>
      </c>
      <c r="C11" s="202">
        <v>8.0</v>
      </c>
      <c r="D11" s="202">
        <v>64.0</v>
      </c>
      <c r="E11" s="207">
        <v>60.0</v>
      </c>
      <c r="F11" s="202">
        <v>60.0</v>
      </c>
      <c r="G11" s="207">
        <v>64.0</v>
      </c>
      <c r="H11" s="173"/>
      <c r="I11" s="202"/>
      <c r="J11" s="206">
        <v>68.5</v>
      </c>
    </row>
    <row r="12">
      <c r="B12" s="201"/>
      <c r="C12" s="202"/>
      <c r="D12" s="202">
        <v>4.0</v>
      </c>
      <c r="E12" s="207">
        <v>8.0</v>
      </c>
      <c r="F12" s="202">
        <v>6.0</v>
      </c>
      <c r="G12" s="207">
        <v>8.0</v>
      </c>
      <c r="H12" s="173"/>
      <c r="I12" s="202"/>
      <c r="J12" s="206">
        <v>6.0</v>
      </c>
    </row>
    <row r="13">
      <c r="B13" s="201" t="s">
        <v>68</v>
      </c>
      <c r="C13" s="202">
        <v>8.0</v>
      </c>
      <c r="D13" s="49"/>
      <c r="E13" s="49"/>
      <c r="F13" s="207">
        <v>64.0</v>
      </c>
      <c r="G13" s="208"/>
      <c r="H13" s="153"/>
      <c r="I13" s="207"/>
      <c r="J13" s="209"/>
    </row>
    <row r="14">
      <c r="B14" s="210"/>
      <c r="C14" s="211"/>
      <c r="D14" s="212"/>
      <c r="E14" s="212"/>
      <c r="F14" s="213">
        <v>6.0</v>
      </c>
      <c r="G14" s="214"/>
      <c r="H14" s="215"/>
      <c r="I14" s="213"/>
      <c r="J14" s="216"/>
    </row>
    <row r="15">
      <c r="B15" s="217" t="s">
        <v>161</v>
      </c>
      <c r="C15" s="218">
        <v>8.0</v>
      </c>
      <c r="D15" s="218">
        <v>22.0</v>
      </c>
      <c r="E15" s="218">
        <v>22.0</v>
      </c>
      <c r="F15" s="173"/>
      <c r="G15" s="173"/>
      <c r="H15" s="173"/>
      <c r="I15" s="218"/>
      <c r="J15" s="219">
        <v>22.0</v>
      </c>
    </row>
    <row r="16">
      <c r="B16" s="217"/>
      <c r="C16" s="218"/>
      <c r="D16" s="218">
        <v>5.0</v>
      </c>
      <c r="E16" s="218">
        <v>5.0</v>
      </c>
      <c r="F16" s="173"/>
      <c r="G16" s="173"/>
      <c r="H16" s="173"/>
      <c r="I16" s="218"/>
      <c r="J16" s="219">
        <v>5.0</v>
      </c>
    </row>
    <row r="17">
      <c r="B17" s="217" t="s">
        <v>161</v>
      </c>
      <c r="C17" s="218">
        <v>8.0</v>
      </c>
      <c r="D17" s="218">
        <v>27.0</v>
      </c>
      <c r="E17" s="218">
        <v>25.0</v>
      </c>
      <c r="F17" s="173"/>
      <c r="G17" s="173"/>
      <c r="H17" s="173"/>
      <c r="I17" s="218"/>
      <c r="J17" s="219">
        <v>25.0</v>
      </c>
    </row>
    <row r="18">
      <c r="B18" s="217"/>
      <c r="C18" s="218"/>
      <c r="D18" s="218">
        <v>5.0</v>
      </c>
      <c r="E18" s="218">
        <v>5.0</v>
      </c>
      <c r="F18" s="173"/>
      <c r="G18" s="173"/>
      <c r="H18" s="173"/>
      <c r="I18" s="218"/>
      <c r="J18" s="219">
        <v>5.0</v>
      </c>
    </row>
    <row r="19">
      <c r="B19" s="217" t="s">
        <v>161</v>
      </c>
      <c r="C19" s="218">
        <v>8.0</v>
      </c>
      <c r="D19" s="218">
        <v>27.0</v>
      </c>
      <c r="E19" s="218">
        <v>27.0</v>
      </c>
      <c r="F19" s="153"/>
      <c r="G19" s="153"/>
      <c r="H19" s="153"/>
      <c r="I19" s="220"/>
      <c r="J19" s="221">
        <v>29.5</v>
      </c>
    </row>
    <row r="20">
      <c r="B20" s="222"/>
      <c r="C20" s="218"/>
      <c r="D20" s="218">
        <v>5.0</v>
      </c>
      <c r="E20" s="218">
        <v>5.0</v>
      </c>
      <c r="F20" s="153"/>
      <c r="G20" s="153"/>
      <c r="H20" s="153"/>
      <c r="I20" s="220"/>
      <c r="J20" s="221">
        <v>5.0</v>
      </c>
    </row>
    <row r="21">
      <c r="B21" s="217" t="s">
        <v>161</v>
      </c>
      <c r="C21" s="218">
        <v>8.0</v>
      </c>
      <c r="D21" s="218">
        <v>27.0</v>
      </c>
      <c r="E21" s="218">
        <v>27.0</v>
      </c>
      <c r="F21" s="153"/>
      <c r="G21" s="153"/>
      <c r="H21" s="153"/>
      <c r="I21" s="220"/>
      <c r="J21" s="221">
        <v>29.5</v>
      </c>
    </row>
    <row r="22">
      <c r="B22" s="223"/>
      <c r="C22" s="224"/>
      <c r="D22" s="224">
        <v>5.0</v>
      </c>
      <c r="E22" s="224">
        <v>5.0</v>
      </c>
      <c r="F22" s="215"/>
      <c r="G22" s="215"/>
      <c r="H22" s="215"/>
      <c r="I22" s="225"/>
      <c r="J22" s="226">
        <v>5.0</v>
      </c>
    </row>
    <row r="23">
      <c r="B23" s="227" t="s">
        <v>65</v>
      </c>
      <c r="C23" s="228">
        <v>8.0</v>
      </c>
      <c r="D23" s="228">
        <v>66.0</v>
      </c>
      <c r="E23" s="228">
        <v>66.0</v>
      </c>
      <c r="F23" s="228">
        <v>71.0</v>
      </c>
      <c r="G23" s="228">
        <v>71.0</v>
      </c>
      <c r="H23" s="228">
        <v>76.0</v>
      </c>
      <c r="I23" s="228">
        <v>70.0</v>
      </c>
      <c r="J23" s="229">
        <v>79.0</v>
      </c>
    </row>
    <row r="24">
      <c r="B24" s="230"/>
      <c r="C24" s="231"/>
      <c r="D24" s="231">
        <v>1.0</v>
      </c>
      <c r="E24" s="231">
        <v>1.0</v>
      </c>
      <c r="F24" s="231">
        <v>1.0</v>
      </c>
      <c r="G24" s="231">
        <v>1.0</v>
      </c>
      <c r="H24" s="231">
        <v>1.0</v>
      </c>
      <c r="I24" s="231">
        <v>1.0</v>
      </c>
      <c r="J24" s="232" t="s">
        <v>163</v>
      </c>
    </row>
    <row r="25">
      <c r="B25" s="233"/>
      <c r="C25" s="231"/>
      <c r="D25" s="231">
        <v>1.0</v>
      </c>
      <c r="E25" s="231">
        <v>1.0</v>
      </c>
      <c r="F25" s="231">
        <v>1.0</v>
      </c>
      <c r="G25" s="231">
        <v>1.0</v>
      </c>
      <c r="H25" s="231">
        <v>1.0</v>
      </c>
      <c r="I25" s="231"/>
      <c r="J25" s="232" t="s">
        <v>164</v>
      </c>
    </row>
    <row r="26">
      <c r="B26" s="230"/>
      <c r="C26" s="231"/>
      <c r="D26" s="231">
        <v>1.0</v>
      </c>
      <c r="E26" s="231">
        <v>1.0</v>
      </c>
      <c r="F26" s="231">
        <v>1.0</v>
      </c>
      <c r="G26" s="231">
        <v>1.0</v>
      </c>
      <c r="H26" s="231">
        <v>1.0</v>
      </c>
      <c r="I26" s="231"/>
      <c r="J26" s="232">
        <v>66.0</v>
      </c>
    </row>
    <row r="27">
      <c r="B27" s="233"/>
      <c r="C27" s="231"/>
      <c r="D27" s="231">
        <v>1.0</v>
      </c>
      <c r="E27" s="231">
        <v>1.0</v>
      </c>
      <c r="F27" s="231">
        <v>1.0</v>
      </c>
      <c r="G27" s="231">
        <v>1.0</v>
      </c>
      <c r="H27" s="231">
        <v>1.0</v>
      </c>
      <c r="I27" s="231"/>
      <c r="J27" s="232" t="s">
        <v>165</v>
      </c>
    </row>
    <row r="28">
      <c r="B28" s="230"/>
      <c r="C28" s="231"/>
      <c r="D28" s="231">
        <v>1.0</v>
      </c>
      <c r="E28" s="231">
        <v>1.0</v>
      </c>
      <c r="F28" s="231">
        <v>1.0</v>
      </c>
      <c r="G28" s="231">
        <v>1.0</v>
      </c>
      <c r="H28" s="231">
        <v>1.0</v>
      </c>
      <c r="I28" s="231"/>
      <c r="J28" s="232" t="s">
        <v>166</v>
      </c>
    </row>
    <row r="29">
      <c r="B29" s="233"/>
      <c r="C29" s="231"/>
      <c r="D29" s="231">
        <v>1.0</v>
      </c>
      <c r="E29" s="231">
        <v>1.0</v>
      </c>
      <c r="F29" s="231">
        <v>1.0</v>
      </c>
      <c r="G29" s="231">
        <v>1.0</v>
      </c>
      <c r="H29" s="231">
        <v>1.0</v>
      </c>
      <c r="I29" s="231"/>
      <c r="J29" s="232" t="s">
        <v>167</v>
      </c>
    </row>
    <row r="30">
      <c r="B30" s="230"/>
      <c r="C30" s="231"/>
      <c r="D30" s="231">
        <v>1.0</v>
      </c>
      <c r="E30" s="231">
        <v>1.0</v>
      </c>
      <c r="F30" s="231">
        <v>1.0</v>
      </c>
      <c r="G30" s="231">
        <v>1.0</v>
      </c>
      <c r="H30" s="231">
        <v>1.0</v>
      </c>
      <c r="I30" s="234"/>
      <c r="J30" s="235"/>
    </row>
    <row r="31">
      <c r="B31" s="233"/>
      <c r="C31" s="231"/>
      <c r="D31" s="231">
        <v>1.0</v>
      </c>
      <c r="E31" s="231">
        <v>1.0</v>
      </c>
      <c r="F31" s="231">
        <v>1.0</v>
      </c>
      <c r="G31" s="231">
        <v>1.0</v>
      </c>
      <c r="H31" s="231">
        <v>1.0</v>
      </c>
      <c r="I31" s="234"/>
      <c r="J31" s="235"/>
    </row>
    <row r="32">
      <c r="B32" s="230"/>
      <c r="C32" s="231"/>
      <c r="D32" s="231">
        <v>1.0</v>
      </c>
      <c r="E32" s="231">
        <v>1.0</v>
      </c>
      <c r="F32" s="231">
        <v>1.0</v>
      </c>
      <c r="G32" s="231">
        <v>1.0</v>
      </c>
      <c r="H32" s="231">
        <v>1.0</v>
      </c>
      <c r="I32" s="234"/>
      <c r="J32" s="235"/>
    </row>
    <row r="33">
      <c r="B33" s="233"/>
      <c r="C33" s="231"/>
      <c r="D33" s="231">
        <v>1.0</v>
      </c>
      <c r="E33" s="231">
        <v>1.0</v>
      </c>
      <c r="F33" s="231">
        <v>1.0</v>
      </c>
      <c r="G33" s="231">
        <v>1.0</v>
      </c>
      <c r="H33" s="231">
        <v>1.0</v>
      </c>
      <c r="I33" s="234"/>
      <c r="J33" s="235"/>
    </row>
    <row r="34">
      <c r="B34" s="233"/>
      <c r="C34" s="231"/>
      <c r="D34" s="231">
        <v>1.0</v>
      </c>
      <c r="E34" s="231">
        <v>1.0</v>
      </c>
      <c r="F34" s="50"/>
      <c r="G34" s="50"/>
      <c r="H34" s="50"/>
      <c r="I34" s="234"/>
      <c r="J34" s="235"/>
    </row>
    <row r="35">
      <c r="B35" s="233"/>
      <c r="C35" s="231"/>
      <c r="D35" s="231">
        <v>1.0</v>
      </c>
      <c r="E35" s="231">
        <v>1.0</v>
      </c>
      <c r="F35" s="50"/>
      <c r="G35" s="50"/>
      <c r="H35" s="50"/>
      <c r="I35" s="234"/>
      <c r="J35" s="235"/>
    </row>
    <row r="36">
      <c r="B36" s="233" t="s">
        <v>65</v>
      </c>
      <c r="C36" s="231">
        <v>8.0</v>
      </c>
      <c r="D36" s="231"/>
      <c r="E36" s="231"/>
      <c r="F36" s="50"/>
      <c r="G36" s="50"/>
      <c r="H36" s="50"/>
      <c r="I36" s="231">
        <v>74.0</v>
      </c>
      <c r="J36" s="235"/>
    </row>
    <row r="37">
      <c r="B37" s="233"/>
      <c r="C37" s="231"/>
      <c r="D37" s="231"/>
      <c r="E37" s="231"/>
      <c r="F37" s="50"/>
      <c r="G37" s="50"/>
      <c r="H37" s="50"/>
      <c r="I37" s="231">
        <v>1.0</v>
      </c>
      <c r="J37" s="235"/>
    </row>
    <row r="38">
      <c r="B38" s="233" t="s">
        <v>65</v>
      </c>
      <c r="C38" s="231">
        <v>8.0</v>
      </c>
      <c r="D38" s="231"/>
      <c r="E38" s="231"/>
      <c r="F38" s="50"/>
      <c r="G38" s="50"/>
      <c r="H38" s="50"/>
      <c r="I38" s="231">
        <v>78.0</v>
      </c>
      <c r="J38" s="235"/>
    </row>
    <row r="39">
      <c r="B39" s="233"/>
      <c r="C39" s="231"/>
      <c r="D39" s="231"/>
      <c r="E39" s="231"/>
      <c r="F39" s="50"/>
      <c r="G39" s="50"/>
      <c r="H39" s="50"/>
      <c r="I39" s="231">
        <v>1.0</v>
      </c>
      <c r="J39" s="235"/>
    </row>
    <row r="40">
      <c r="B40" s="133" t="s">
        <v>69</v>
      </c>
      <c r="C40" s="134"/>
      <c r="D40" s="134" t="s">
        <v>44</v>
      </c>
      <c r="E40" s="134" t="s">
        <v>44</v>
      </c>
      <c r="F40" s="134" t="s">
        <v>44</v>
      </c>
      <c r="G40" s="134" t="s">
        <v>44</v>
      </c>
      <c r="H40" s="134" t="s">
        <v>44</v>
      </c>
      <c r="I40" s="134" t="s">
        <v>44</v>
      </c>
      <c r="J40" s="134" t="s">
        <v>44</v>
      </c>
    </row>
    <row r="41">
      <c r="B41" s="140"/>
      <c r="C41" s="59"/>
      <c r="D41" s="59">
        <v>20.0</v>
      </c>
      <c r="E41" s="59">
        <v>20.0</v>
      </c>
      <c r="F41" s="59">
        <v>20.0</v>
      </c>
      <c r="G41" s="59">
        <v>20.0</v>
      </c>
      <c r="H41" s="59">
        <v>20.0</v>
      </c>
      <c r="I41" s="59">
        <v>20.0</v>
      </c>
      <c r="J41" s="236"/>
    </row>
    <row r="42">
      <c r="B42" s="140"/>
      <c r="C42" s="59"/>
      <c r="D42" s="59"/>
      <c r="E42" s="59"/>
      <c r="F42" s="59"/>
      <c r="G42" s="59">
        <v>20.0</v>
      </c>
      <c r="H42" s="59">
        <v>20.0</v>
      </c>
      <c r="I42" s="59">
        <v>20.0</v>
      </c>
      <c r="J42" s="236"/>
    </row>
    <row r="43">
      <c r="B43" s="144"/>
      <c r="C43" s="145"/>
      <c r="D43" s="145"/>
      <c r="E43" s="145"/>
      <c r="F43" s="145"/>
      <c r="G43" s="145"/>
      <c r="H43" s="145">
        <v>20.0</v>
      </c>
      <c r="I43" s="145">
        <v>20.0</v>
      </c>
      <c r="J43" s="237"/>
    </row>
    <row r="44">
      <c r="B44" s="238" t="s">
        <v>150</v>
      </c>
      <c r="C44" s="239">
        <v>8.0</v>
      </c>
      <c r="D44" s="239"/>
      <c r="E44" s="239"/>
      <c r="F44" s="239"/>
      <c r="G44" s="239"/>
      <c r="H44" s="239">
        <v>20.0</v>
      </c>
      <c r="I44" s="239">
        <v>20.0</v>
      </c>
      <c r="J44" s="240"/>
    </row>
    <row r="45">
      <c r="B45" s="238"/>
      <c r="C45" s="239"/>
      <c r="D45" s="239"/>
      <c r="E45" s="239"/>
      <c r="F45" s="239"/>
      <c r="G45" s="239"/>
      <c r="H45" s="239">
        <v>5.0</v>
      </c>
      <c r="I45" s="239">
        <v>5.0</v>
      </c>
      <c r="J45" s="240"/>
    </row>
    <row r="46">
      <c r="B46" s="238" t="s">
        <v>150</v>
      </c>
      <c r="C46" s="239">
        <v>8.0</v>
      </c>
      <c r="D46" s="239"/>
      <c r="E46" s="239"/>
      <c r="F46" s="239"/>
      <c r="G46" s="239"/>
      <c r="H46" s="239">
        <v>24.0</v>
      </c>
      <c r="I46" s="239">
        <v>28.0</v>
      </c>
      <c r="J46" s="240"/>
    </row>
    <row r="47">
      <c r="B47" s="238"/>
      <c r="C47" s="239"/>
      <c r="D47" s="239"/>
      <c r="E47" s="239"/>
      <c r="F47" s="239"/>
      <c r="G47" s="239"/>
      <c r="H47" s="239">
        <v>5.0</v>
      </c>
      <c r="I47" s="239">
        <v>5.0</v>
      </c>
      <c r="J47" s="240"/>
    </row>
    <row r="48">
      <c r="B48" s="238" t="s">
        <v>150</v>
      </c>
      <c r="C48" s="239">
        <v>8.0</v>
      </c>
      <c r="D48" s="239"/>
      <c r="E48" s="239"/>
      <c r="F48" s="239"/>
      <c r="G48" s="239"/>
      <c r="H48" s="239">
        <v>28.0</v>
      </c>
      <c r="I48" s="239">
        <v>32.0</v>
      </c>
      <c r="J48" s="240"/>
    </row>
    <row r="49">
      <c r="B49" s="238"/>
      <c r="C49" s="239"/>
      <c r="D49" s="239"/>
      <c r="E49" s="239"/>
      <c r="F49" s="239"/>
      <c r="G49" s="239"/>
      <c r="H49" s="239">
        <v>5.0</v>
      </c>
      <c r="I49" s="239">
        <v>5.0</v>
      </c>
      <c r="J49" s="240"/>
    </row>
    <row r="50">
      <c r="B50" s="179" t="s">
        <v>100</v>
      </c>
      <c r="C50" s="180"/>
      <c r="D50" s="180" t="s">
        <v>46</v>
      </c>
      <c r="E50" s="180" t="s">
        <v>46</v>
      </c>
      <c r="F50" s="180" t="s">
        <v>46</v>
      </c>
      <c r="G50" s="180" t="s">
        <v>46</v>
      </c>
      <c r="H50" s="180" t="s">
        <v>46</v>
      </c>
      <c r="I50" s="180" t="s">
        <v>46</v>
      </c>
      <c r="J50" s="241"/>
    </row>
    <row r="51">
      <c r="B51" s="188"/>
      <c r="C51" s="189"/>
      <c r="D51" s="189">
        <v>15.0</v>
      </c>
      <c r="E51" s="189">
        <v>15.0</v>
      </c>
      <c r="F51" s="189">
        <v>15.0</v>
      </c>
      <c r="G51" s="189">
        <v>15.0</v>
      </c>
      <c r="H51" s="189">
        <v>15.0</v>
      </c>
      <c r="I51" s="189">
        <v>15.0</v>
      </c>
      <c r="J51" s="242"/>
    </row>
    <row r="52">
      <c r="B52" s="188"/>
      <c r="C52" s="189"/>
      <c r="D52" s="189"/>
      <c r="E52" s="189">
        <v>15.0</v>
      </c>
      <c r="F52" s="189">
        <v>15.0</v>
      </c>
      <c r="G52" s="189">
        <v>15.0</v>
      </c>
      <c r="H52" s="189">
        <v>15.0</v>
      </c>
      <c r="I52" s="189">
        <v>15.0</v>
      </c>
      <c r="J52" s="242"/>
    </row>
    <row r="53">
      <c r="B53" s="243"/>
      <c r="C53" s="244"/>
      <c r="D53" s="244"/>
      <c r="E53" s="244"/>
      <c r="F53" s="244"/>
      <c r="G53" s="244"/>
      <c r="H53" s="244">
        <v>15.0</v>
      </c>
      <c r="I53" s="244">
        <v>15.0</v>
      </c>
      <c r="J53" s="245"/>
    </row>
    <row r="54">
      <c r="B54" s="140" t="s">
        <v>151</v>
      </c>
      <c r="C54" s="59"/>
      <c r="D54" s="59">
        <v>2.5</v>
      </c>
      <c r="E54" s="59">
        <v>5.0</v>
      </c>
      <c r="F54" s="59">
        <v>5.0</v>
      </c>
      <c r="G54" s="59">
        <v>6.0</v>
      </c>
      <c r="H54" s="59">
        <v>6.0</v>
      </c>
      <c r="I54" s="59">
        <v>6.0</v>
      </c>
      <c r="J54" s="246"/>
    </row>
    <row r="55">
      <c r="B55" s="140"/>
      <c r="C55" s="132"/>
      <c r="D55" s="59">
        <v>20.0</v>
      </c>
      <c r="E55" s="59">
        <v>15.0</v>
      </c>
      <c r="F55" s="59">
        <v>20.0</v>
      </c>
      <c r="G55" s="59">
        <v>15.0</v>
      </c>
      <c r="H55" s="59">
        <v>15.0</v>
      </c>
      <c r="I55" s="59">
        <v>15.0</v>
      </c>
      <c r="J55" s="236"/>
    </row>
    <row r="56">
      <c r="B56" s="140"/>
      <c r="C56" s="132"/>
      <c r="D56" s="59"/>
      <c r="E56" s="59">
        <v>15.0</v>
      </c>
      <c r="F56" s="59">
        <v>20.0</v>
      </c>
      <c r="G56" s="59">
        <v>15.0</v>
      </c>
      <c r="H56" s="59">
        <v>15.0</v>
      </c>
      <c r="I56" s="59">
        <v>15.0</v>
      </c>
      <c r="J56" s="236"/>
    </row>
    <row r="57">
      <c r="B57" s="140"/>
      <c r="C57" s="132"/>
      <c r="D57" s="59"/>
      <c r="E57" s="59"/>
      <c r="F57" s="59"/>
      <c r="G57" s="59"/>
      <c r="H57" s="59">
        <v>15.0</v>
      </c>
      <c r="I57" s="59">
        <v>15.0</v>
      </c>
      <c r="J57" s="236"/>
    </row>
    <row r="58">
      <c r="B58" s="179" t="s">
        <v>59</v>
      </c>
      <c r="C58" s="193"/>
      <c r="D58" s="180">
        <v>12.0</v>
      </c>
      <c r="E58" s="180">
        <v>12.0</v>
      </c>
      <c r="F58" s="180">
        <v>13.0</v>
      </c>
      <c r="G58" s="180">
        <v>13.0</v>
      </c>
      <c r="H58" s="180">
        <v>14.0</v>
      </c>
      <c r="I58" s="180">
        <v>14.0</v>
      </c>
      <c r="J58" s="241"/>
    </row>
    <row r="59">
      <c r="B59" s="188"/>
      <c r="C59" s="33"/>
      <c r="D59" s="189">
        <v>15.0</v>
      </c>
      <c r="E59" s="189">
        <v>16.0</v>
      </c>
      <c r="F59" s="189">
        <v>22.0</v>
      </c>
      <c r="G59" s="189">
        <v>10.0</v>
      </c>
      <c r="H59" s="189">
        <v>10.0</v>
      </c>
      <c r="I59" s="189">
        <v>10.0</v>
      </c>
      <c r="J59" s="242"/>
    </row>
    <row r="60">
      <c r="B60" s="188"/>
      <c r="C60" s="33"/>
      <c r="D60" s="189"/>
      <c r="E60" s="189"/>
      <c r="F60" s="189"/>
      <c r="G60" s="189">
        <v>24.0</v>
      </c>
      <c r="H60" s="189">
        <v>16.0</v>
      </c>
      <c r="I60" s="189">
        <v>10.0</v>
      </c>
      <c r="J60" s="242"/>
    </row>
    <row r="61">
      <c r="B61" s="188"/>
      <c r="C61" s="33"/>
      <c r="D61" s="189"/>
      <c r="E61" s="189"/>
      <c r="F61" s="189"/>
      <c r="G61" s="189"/>
      <c r="H61" s="189">
        <v>10.0</v>
      </c>
      <c r="I61" s="189">
        <v>17.0</v>
      </c>
      <c r="J61" s="242"/>
    </row>
    <row r="62">
      <c r="B62" s="247" t="s">
        <v>168</v>
      </c>
      <c r="C62" s="248"/>
      <c r="D62" s="249">
        <v>0.0</v>
      </c>
      <c r="E62" s="249">
        <v>0.0</v>
      </c>
      <c r="F62" s="249">
        <v>2.5</v>
      </c>
      <c r="G62" s="249">
        <v>5.0</v>
      </c>
      <c r="H62" s="249">
        <v>5.0</v>
      </c>
      <c r="I62" s="249">
        <v>5.0</v>
      </c>
      <c r="J62" s="250"/>
    </row>
    <row r="63">
      <c r="B63" s="251"/>
      <c r="C63" s="252"/>
      <c r="D63" s="253">
        <v>15.0</v>
      </c>
      <c r="E63" s="253">
        <v>20.0</v>
      </c>
      <c r="F63" s="253">
        <v>20.0</v>
      </c>
      <c r="G63" s="253">
        <v>15.0</v>
      </c>
      <c r="H63" s="253">
        <v>18.0</v>
      </c>
      <c r="I63" s="253">
        <v>20.0</v>
      </c>
      <c r="J63" s="254"/>
    </row>
    <row r="64">
      <c r="A64" s="3"/>
      <c r="B64" s="255"/>
      <c r="C64" s="256"/>
      <c r="D64" s="257"/>
      <c r="E64" s="257"/>
      <c r="F64" s="257"/>
      <c r="G64" s="257">
        <v>15.0</v>
      </c>
      <c r="H64" s="257">
        <v>18.0</v>
      </c>
      <c r="I64" s="257"/>
      <c r="J64" s="258"/>
    </row>
    <row r="65">
      <c r="A65" s="3" t="s">
        <v>169</v>
      </c>
      <c r="B65" s="247" t="s">
        <v>170</v>
      </c>
      <c r="C65" s="248"/>
      <c r="D65" s="249">
        <v>12.0</v>
      </c>
      <c r="E65" s="249">
        <v>12.0</v>
      </c>
      <c r="F65" s="249">
        <v>14.5</v>
      </c>
      <c r="G65" s="249">
        <v>17.0</v>
      </c>
      <c r="H65" s="249">
        <v>19.5</v>
      </c>
      <c r="I65" s="249">
        <v>22.0</v>
      </c>
      <c r="J65" s="250">
        <v>22.0</v>
      </c>
    </row>
    <row r="66">
      <c r="B66" s="259"/>
      <c r="C66" s="252"/>
      <c r="D66" s="253">
        <v>12.0</v>
      </c>
      <c r="E66" s="253">
        <v>15.0</v>
      </c>
      <c r="F66" s="253">
        <v>15.0</v>
      </c>
      <c r="G66" s="253">
        <v>15.0</v>
      </c>
      <c r="H66" s="253">
        <v>15.0</v>
      </c>
      <c r="I66" s="253">
        <v>12.0</v>
      </c>
      <c r="J66" s="254"/>
    </row>
    <row r="67">
      <c r="A67" s="3"/>
      <c r="B67" s="255"/>
      <c r="C67" s="256"/>
      <c r="D67" s="257"/>
      <c r="E67" s="257"/>
      <c r="F67" s="257"/>
      <c r="G67" s="257">
        <v>15.0</v>
      </c>
      <c r="H67" s="257">
        <v>15.0</v>
      </c>
      <c r="I67" s="256"/>
      <c r="J67" s="260"/>
    </row>
    <row r="68">
      <c r="A68" s="3" t="s">
        <v>171</v>
      </c>
      <c r="B68" s="247" t="s">
        <v>172</v>
      </c>
      <c r="C68" s="248"/>
      <c r="D68" s="249">
        <v>0.0</v>
      </c>
      <c r="E68" s="249">
        <v>0.0</v>
      </c>
      <c r="F68" s="249">
        <v>0.0</v>
      </c>
      <c r="G68" s="249">
        <v>0.0</v>
      </c>
      <c r="H68" s="249">
        <v>0.0</v>
      </c>
      <c r="I68" s="249">
        <v>0.0</v>
      </c>
      <c r="J68" s="250">
        <v>0.0</v>
      </c>
    </row>
    <row r="69">
      <c r="B69" s="259"/>
      <c r="C69" s="252"/>
      <c r="D69" s="253">
        <v>10.0</v>
      </c>
      <c r="E69" s="253">
        <v>12.0</v>
      </c>
      <c r="F69" s="253">
        <v>10.0</v>
      </c>
      <c r="G69" s="253">
        <v>10.0</v>
      </c>
      <c r="H69" s="253">
        <v>12.0</v>
      </c>
      <c r="I69" s="253">
        <v>18.0</v>
      </c>
      <c r="J69" s="254"/>
    </row>
    <row r="70">
      <c r="A70" s="3"/>
      <c r="B70" s="255"/>
      <c r="C70" s="256"/>
      <c r="D70" s="257"/>
      <c r="E70" s="257"/>
      <c r="F70" s="257"/>
      <c r="G70" s="257">
        <v>12.0</v>
      </c>
      <c r="H70" s="257">
        <v>15.0</v>
      </c>
      <c r="I70" s="256"/>
      <c r="J70" s="260"/>
    </row>
    <row r="71">
      <c r="A71" s="3" t="s">
        <v>173</v>
      </c>
      <c r="B71" s="247" t="s">
        <v>174</v>
      </c>
      <c r="C71" s="248"/>
      <c r="D71" s="249">
        <v>0.0</v>
      </c>
      <c r="E71" s="249">
        <v>0.0</v>
      </c>
      <c r="F71" s="249">
        <v>0.0</v>
      </c>
      <c r="G71" s="249">
        <v>2.0</v>
      </c>
      <c r="H71" s="249">
        <v>4.0</v>
      </c>
      <c r="I71" s="249">
        <v>4.0</v>
      </c>
      <c r="J71" s="250">
        <v>4.0</v>
      </c>
    </row>
    <row r="72">
      <c r="B72" s="259"/>
      <c r="C72" s="252"/>
      <c r="D72" s="253">
        <v>15.0</v>
      </c>
      <c r="E72" s="253">
        <v>18.0</v>
      </c>
      <c r="F72" s="253">
        <v>20.0</v>
      </c>
      <c r="G72" s="253">
        <v>20.0</v>
      </c>
      <c r="H72" s="253">
        <v>20.0</v>
      </c>
      <c r="I72" s="253">
        <v>20.0</v>
      </c>
      <c r="J72" s="254" t="s">
        <v>175</v>
      </c>
    </row>
    <row r="73">
      <c r="B73" s="261"/>
      <c r="C73" s="256"/>
      <c r="D73" s="257"/>
      <c r="E73" s="257"/>
      <c r="F73" s="257"/>
      <c r="G73" s="257">
        <v>20.0</v>
      </c>
      <c r="H73" s="257">
        <v>20.0</v>
      </c>
      <c r="I73" s="256"/>
      <c r="J73" s="260"/>
    </row>
    <row r="74">
      <c r="A74" s="3" t="s">
        <v>176</v>
      </c>
      <c r="B74" s="251" t="s">
        <v>177</v>
      </c>
      <c r="C74" s="252"/>
      <c r="D74" s="253">
        <v>0.0</v>
      </c>
      <c r="E74" s="253">
        <v>0.0</v>
      </c>
      <c r="F74" s="253">
        <v>0.0</v>
      </c>
      <c r="G74" s="253">
        <v>0.0</v>
      </c>
      <c r="H74" s="253">
        <v>0.0</v>
      </c>
      <c r="I74" s="253">
        <v>0.0</v>
      </c>
      <c r="J74" s="262"/>
    </row>
    <row r="75">
      <c r="B75" s="259"/>
      <c r="C75" s="252"/>
      <c r="D75" s="253">
        <v>8.0</v>
      </c>
      <c r="E75" s="253">
        <v>12.0</v>
      </c>
      <c r="F75" s="253">
        <v>15.0</v>
      </c>
      <c r="G75" s="253">
        <v>12.0</v>
      </c>
      <c r="H75" s="253">
        <v>15.0</v>
      </c>
      <c r="I75" s="253">
        <v>20.0</v>
      </c>
      <c r="J75" s="254"/>
    </row>
    <row r="76">
      <c r="B76" s="261"/>
      <c r="C76" s="256"/>
      <c r="D76" s="257"/>
      <c r="E76" s="257"/>
      <c r="F76" s="257"/>
      <c r="G76" s="257">
        <v>15.0</v>
      </c>
      <c r="H76" s="257">
        <v>18.0</v>
      </c>
      <c r="I76" s="256"/>
      <c r="J76" s="260"/>
    </row>
    <row r="77">
      <c r="B77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178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179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179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179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180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181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182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182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182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183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184</v>
      </c>
      <c r="E2" s="2"/>
      <c r="F2" s="2"/>
      <c r="G2" s="2"/>
      <c r="H2" s="2"/>
      <c r="I2" s="2"/>
      <c r="J2" s="2"/>
      <c r="K2" s="2"/>
      <c r="L2" s="2"/>
      <c r="M2" s="2"/>
      <c r="N2" s="88" t="s">
        <v>185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186</v>
      </c>
      <c r="C3" s="2">
        <v>70.5</v>
      </c>
      <c r="D3" s="2">
        <f t="shared" ref="D3:D5" si="1">C3*0.97</f>
        <v>68.385</v>
      </c>
      <c r="E3" s="2" t="s">
        <v>187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188</v>
      </c>
      <c r="O3" s="263">
        <v>3.0</v>
      </c>
      <c r="P3" s="88">
        <v>15.0</v>
      </c>
      <c r="Q3" s="88">
        <v>22.6</v>
      </c>
      <c r="R3" s="2"/>
      <c r="S3" s="2"/>
      <c r="T3" s="2"/>
      <c r="U3" s="263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189</v>
      </c>
      <c r="C4" s="2">
        <v>58.0</v>
      </c>
      <c r="D4" s="2">
        <f t="shared" si="1"/>
        <v>56.26</v>
      </c>
      <c r="E4" s="2" t="s">
        <v>190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191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192</v>
      </c>
      <c r="C5" s="2">
        <v>43.0</v>
      </c>
      <c r="D5" s="2">
        <f t="shared" si="1"/>
        <v>41.71</v>
      </c>
      <c r="E5" s="2" t="s">
        <v>193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194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195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196</v>
      </c>
      <c r="O7" s="2"/>
      <c r="P7" s="2"/>
      <c r="Q7" s="2"/>
      <c r="R7" s="88">
        <v>3.0</v>
      </c>
      <c r="S7" s="88">
        <v>5.0</v>
      </c>
      <c r="T7" s="88" t="s">
        <v>197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198</v>
      </c>
      <c r="D8" s="94" t="s">
        <v>199</v>
      </c>
      <c r="E8" s="2" t="s">
        <v>200</v>
      </c>
      <c r="F8" s="95" t="s">
        <v>201</v>
      </c>
      <c r="G8" s="91" t="s">
        <v>202</v>
      </c>
      <c r="H8" s="91" t="s">
        <v>203</v>
      </c>
      <c r="I8" s="91" t="s">
        <v>204</v>
      </c>
      <c r="J8" s="91" t="s">
        <v>205</v>
      </c>
      <c r="K8" s="91" t="s">
        <v>206</v>
      </c>
      <c r="L8" s="2"/>
      <c r="M8" s="2"/>
      <c r="N8" s="88" t="s">
        <v>207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194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188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194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183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195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208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207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185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188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191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209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210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185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64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64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64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211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212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208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213</v>
      </c>
      <c r="O55" s="265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214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215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66">
        <v>8.0</v>
      </c>
      <c r="D3" s="267">
        <v>34.0</v>
      </c>
      <c r="E3" s="267"/>
      <c r="F3" s="267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68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69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68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66"/>
      <c r="D5" s="267">
        <v>20.0</v>
      </c>
      <c r="E5" s="267"/>
      <c r="F5" s="267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68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69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68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69"/>
      <c r="D7" s="267"/>
      <c r="E7" s="267"/>
      <c r="F7" s="267"/>
      <c r="G7" s="112"/>
      <c r="H7" s="112"/>
      <c r="I7" s="109"/>
      <c r="J7" s="111"/>
      <c r="K7" s="111"/>
      <c r="L7" s="107"/>
      <c r="M7" s="107"/>
      <c r="N7" s="268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216</v>
      </c>
      <c r="B8" s="85" t="s">
        <v>217</v>
      </c>
      <c r="C8" s="270">
        <v>4.6</v>
      </c>
      <c r="D8" s="267"/>
      <c r="E8" s="267"/>
      <c r="F8" s="267"/>
      <c r="G8" s="112"/>
      <c r="H8" s="112"/>
      <c r="I8" s="109"/>
      <c r="J8" s="111"/>
      <c r="K8" s="111"/>
      <c r="L8" s="107">
        <v>16.0</v>
      </c>
      <c r="M8" s="107"/>
      <c r="N8" s="268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69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68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70"/>
      <c r="D10" s="267"/>
      <c r="E10" s="267"/>
      <c r="F10" s="267"/>
      <c r="G10" s="112"/>
      <c r="H10" s="112"/>
      <c r="I10" s="109"/>
      <c r="J10" s="111"/>
      <c r="K10" s="111"/>
      <c r="L10" s="107">
        <v>15.0</v>
      </c>
      <c r="M10" s="107"/>
      <c r="N10" s="268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70"/>
      <c r="D11" s="267"/>
      <c r="E11" s="267"/>
      <c r="F11" s="267"/>
      <c r="G11" s="112"/>
      <c r="H11" s="112"/>
      <c r="I11" s="109"/>
      <c r="J11" s="111"/>
      <c r="K11" s="111"/>
      <c r="L11" s="107">
        <v>15.0</v>
      </c>
      <c r="M11" s="107"/>
      <c r="N11" s="268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69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68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218</v>
      </c>
      <c r="B13" s="126" t="s">
        <v>66</v>
      </c>
      <c r="C13" s="270">
        <v>4.6</v>
      </c>
      <c r="D13" s="267">
        <v>20.0</v>
      </c>
      <c r="E13" s="267"/>
      <c r="F13" s="267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68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69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68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70"/>
      <c r="D15" s="267">
        <v>12.0</v>
      </c>
      <c r="E15" s="267"/>
      <c r="F15" s="267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68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70"/>
      <c r="D16" s="267">
        <v>12.0</v>
      </c>
      <c r="E16" s="267"/>
      <c r="F16" s="267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68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69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68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219</v>
      </c>
      <c r="B18" s="126" t="s">
        <v>159</v>
      </c>
      <c r="C18" s="270"/>
      <c r="D18" s="267">
        <v>11.0</v>
      </c>
      <c r="E18" s="267">
        <v>10.0</v>
      </c>
      <c r="F18" s="267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68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69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68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70"/>
      <c r="D20" s="267">
        <v>12.0</v>
      </c>
      <c r="E20" s="267">
        <v>15.0</v>
      </c>
      <c r="F20" s="267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68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69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68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69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68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70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68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69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68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69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68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69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68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69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68"/>
      <c r="O27" s="271"/>
      <c r="P27" s="271"/>
      <c r="Q27" s="271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220</v>
      </c>
      <c r="B28" s="126" t="s">
        <v>221</v>
      </c>
      <c r="C28" s="270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68"/>
      <c r="O28" s="271"/>
      <c r="P28" s="271"/>
      <c r="Q28" s="271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69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68"/>
      <c r="O29" s="271"/>
      <c r="P29" s="271"/>
      <c r="Q29" s="271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69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68"/>
      <c r="O30" s="271"/>
      <c r="P30" s="271"/>
      <c r="Q30" s="271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69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68"/>
      <c r="O31" s="271"/>
      <c r="P31" s="271"/>
      <c r="Q31" s="271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69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68"/>
      <c r="O32" s="271"/>
      <c r="P32" s="271"/>
      <c r="Q32" s="271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222</v>
      </c>
      <c r="B33" s="126" t="s">
        <v>223</v>
      </c>
      <c r="C33" s="270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68"/>
      <c r="O33" s="271"/>
      <c r="P33" s="271"/>
      <c r="Q33" s="271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69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68"/>
      <c r="O34" s="271"/>
      <c r="P34" s="271"/>
      <c r="Q34" s="271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69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68"/>
      <c r="O35" s="271"/>
      <c r="P35" s="271"/>
      <c r="Q35" s="271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69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68"/>
      <c r="O36" s="271"/>
      <c r="P36" s="271"/>
      <c r="Q36" s="271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69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68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69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68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70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68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69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68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69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68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69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68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224</v>
      </c>
      <c r="B43" s="85" t="s">
        <v>225</v>
      </c>
      <c r="C43" s="269"/>
      <c r="D43" s="113" t="s">
        <v>226</v>
      </c>
      <c r="E43" s="113"/>
      <c r="F43" s="113"/>
      <c r="G43" s="112" t="s">
        <v>226</v>
      </c>
      <c r="H43" s="112" t="s">
        <v>227</v>
      </c>
      <c r="I43" s="111" t="s">
        <v>226</v>
      </c>
      <c r="J43" s="111" t="s">
        <v>227</v>
      </c>
      <c r="K43" s="115"/>
      <c r="L43" s="112"/>
      <c r="M43" s="110"/>
      <c r="N43" s="268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72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68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72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68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73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68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72"/>
      <c r="D47" s="274"/>
      <c r="E47" s="274"/>
      <c r="F47" s="274"/>
      <c r="G47" s="118"/>
      <c r="H47" s="118"/>
      <c r="I47" s="117"/>
      <c r="J47" s="109"/>
      <c r="K47" s="109"/>
      <c r="L47" s="116"/>
      <c r="M47" s="110"/>
      <c r="N47" s="268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228</v>
      </c>
      <c r="B48" s="85" t="s">
        <v>151</v>
      </c>
      <c r="C48" s="272"/>
      <c r="D48" s="274"/>
      <c r="E48" s="274"/>
      <c r="F48" s="274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68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72"/>
      <c r="D49" s="274"/>
      <c r="E49" s="274"/>
      <c r="F49" s="274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68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72"/>
      <c r="D50" s="274"/>
      <c r="E50" s="274"/>
      <c r="F50" s="274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68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72"/>
      <c r="D51" s="274"/>
      <c r="E51" s="274"/>
      <c r="F51" s="274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68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72"/>
      <c r="D52" s="274"/>
      <c r="E52" s="274"/>
      <c r="F52" s="274"/>
      <c r="G52" s="118"/>
      <c r="H52" s="118"/>
      <c r="I52" s="117"/>
      <c r="J52" s="109"/>
      <c r="K52" s="109"/>
      <c r="L52" s="116"/>
      <c r="M52" s="110"/>
      <c r="N52" s="268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72"/>
      <c r="D53" s="274">
        <v>7.5</v>
      </c>
      <c r="E53" s="274">
        <v>5.0</v>
      </c>
      <c r="F53" s="274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68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69"/>
      <c r="D54" s="274">
        <v>8.0</v>
      </c>
      <c r="E54" s="274">
        <v>12.0</v>
      </c>
      <c r="F54" s="274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68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69"/>
      <c r="D55" s="274">
        <v>8.0</v>
      </c>
      <c r="E55" s="274">
        <v>12.0</v>
      </c>
      <c r="F55" s="274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68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70"/>
      <c r="D56" s="274">
        <v>8.0</v>
      </c>
      <c r="E56" s="274">
        <v>12.0</v>
      </c>
      <c r="F56" s="274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68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70"/>
      <c r="D57" s="113"/>
      <c r="E57" s="275"/>
      <c r="F57" s="113"/>
      <c r="G57" s="110"/>
      <c r="H57" s="110"/>
      <c r="I57" s="111"/>
      <c r="J57" s="115"/>
      <c r="K57" s="115"/>
      <c r="L57" s="110"/>
      <c r="M57" s="110"/>
      <c r="N57" s="268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70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68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70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68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70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68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69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76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69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76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69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76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70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76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70"/>
      <c r="D65" s="113">
        <v>8.0</v>
      </c>
      <c r="E65" s="113">
        <v>12.0</v>
      </c>
      <c r="F65" s="113">
        <v>15.0</v>
      </c>
      <c r="G65" s="268">
        <v>8.0</v>
      </c>
      <c r="H65" s="268">
        <v>12.0</v>
      </c>
      <c r="I65" s="111">
        <v>6.0</v>
      </c>
      <c r="J65" s="111">
        <v>12.0</v>
      </c>
      <c r="K65" s="115"/>
      <c r="L65" s="112">
        <v>10.0</v>
      </c>
      <c r="M65" s="110"/>
      <c r="N65" s="277"/>
      <c r="O65" s="278">
        <v>12.0</v>
      </c>
      <c r="P65" s="279"/>
      <c r="Q65" s="279"/>
      <c r="R65" s="279"/>
      <c r="S65" s="279"/>
      <c r="T65" s="279"/>
      <c r="U65" s="279"/>
      <c r="V65" s="279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70"/>
      <c r="D66" s="113">
        <v>8.0</v>
      </c>
      <c r="E66" s="113">
        <v>12.0</v>
      </c>
      <c r="F66" s="113">
        <v>15.0</v>
      </c>
      <c r="G66" s="268">
        <v>8.0</v>
      </c>
      <c r="H66" s="268">
        <v>12.0</v>
      </c>
      <c r="I66" s="111">
        <v>8.0</v>
      </c>
      <c r="J66" s="111">
        <v>12.0</v>
      </c>
      <c r="K66" s="115"/>
      <c r="L66" s="112">
        <v>10.0</v>
      </c>
      <c r="M66" s="110"/>
      <c r="N66" s="277"/>
      <c r="O66" s="278">
        <v>12.0</v>
      </c>
      <c r="P66" s="279"/>
      <c r="Q66" s="279"/>
      <c r="R66" s="279"/>
      <c r="S66" s="279"/>
      <c r="T66" s="279"/>
      <c r="U66" s="279"/>
      <c r="V66" s="279"/>
      <c r="W66" s="51"/>
      <c r="X66" s="51"/>
      <c r="Y66" s="51"/>
      <c r="Z66" s="51"/>
      <c r="AA66" s="51"/>
      <c r="AB66" s="51"/>
      <c r="AC66" s="51"/>
    </row>
    <row r="67">
      <c r="B67" s="126"/>
      <c r="C67" s="270"/>
      <c r="L67" s="280"/>
      <c r="M67" s="280"/>
      <c r="N67" s="280"/>
    </row>
    <row r="68">
      <c r="A68" s="3" t="s">
        <v>118</v>
      </c>
      <c r="B68" s="126" t="s">
        <v>118</v>
      </c>
      <c r="C68" s="270"/>
      <c r="D68" s="51"/>
      <c r="E68" s="51"/>
      <c r="F68" s="51"/>
      <c r="G68" s="51"/>
      <c r="H68" s="51"/>
      <c r="I68" s="51"/>
      <c r="J68" s="51"/>
      <c r="K68" s="51"/>
      <c r="L68" s="268">
        <v>16.0</v>
      </c>
      <c r="M68" s="276"/>
      <c r="N68" s="276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70"/>
      <c r="D69" s="51"/>
      <c r="E69" s="51"/>
      <c r="F69" s="51"/>
      <c r="G69" s="51"/>
      <c r="H69" s="51"/>
      <c r="I69" s="51"/>
      <c r="J69" s="51"/>
      <c r="K69" s="51"/>
      <c r="L69" s="268">
        <v>20.0</v>
      </c>
      <c r="M69" s="276"/>
      <c r="N69" s="276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70"/>
      <c r="D70" s="51"/>
      <c r="E70" s="51"/>
      <c r="F70" s="51"/>
      <c r="G70" s="51"/>
      <c r="H70" s="51"/>
      <c r="I70" s="51"/>
      <c r="J70" s="51"/>
      <c r="K70" s="51"/>
      <c r="L70" s="268">
        <v>20.0</v>
      </c>
      <c r="M70" s="276"/>
      <c r="N70" s="276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70"/>
      <c r="D71" s="51"/>
      <c r="E71" s="51"/>
      <c r="F71" s="51"/>
      <c r="G71" s="51"/>
      <c r="H71" s="51"/>
      <c r="I71" s="51"/>
      <c r="J71" s="51"/>
      <c r="K71" s="51"/>
      <c r="L71" s="268">
        <v>20.0</v>
      </c>
      <c r="M71" s="276"/>
      <c r="N71" s="276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70"/>
      <c r="D72" s="51"/>
      <c r="E72" s="51"/>
      <c r="F72" s="51"/>
      <c r="G72" s="51"/>
      <c r="H72" s="51"/>
      <c r="I72" s="51"/>
      <c r="J72" s="51"/>
      <c r="K72" s="51"/>
      <c r="L72" s="276"/>
      <c r="M72" s="276"/>
      <c r="N72" s="276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70">
        <v>4.6</v>
      </c>
      <c r="D73" s="51"/>
      <c r="E73" s="51"/>
      <c r="F73" s="51"/>
      <c r="G73" s="51"/>
      <c r="H73" s="51"/>
      <c r="I73" s="51"/>
      <c r="J73" s="51"/>
      <c r="K73" s="51"/>
      <c r="L73" s="276"/>
      <c r="M73" s="276"/>
      <c r="N73" s="276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70"/>
      <c r="D74" s="51"/>
      <c r="E74" s="51"/>
      <c r="F74" s="51"/>
      <c r="G74" s="51"/>
      <c r="H74" s="51"/>
      <c r="I74" s="51"/>
      <c r="J74" s="51"/>
      <c r="K74" s="51"/>
      <c r="L74" s="276"/>
      <c r="M74" s="276"/>
      <c r="N74" s="276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70"/>
      <c r="D75" s="51"/>
      <c r="E75" s="51"/>
      <c r="F75" s="51"/>
      <c r="G75" s="51"/>
      <c r="H75" s="51"/>
      <c r="I75" s="51"/>
      <c r="J75" s="51"/>
      <c r="K75" s="51"/>
      <c r="L75" s="276"/>
      <c r="M75" s="276"/>
      <c r="N75" s="276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70"/>
      <c r="D76" s="51"/>
      <c r="E76" s="51"/>
      <c r="F76" s="51"/>
      <c r="G76" s="51"/>
      <c r="H76" s="51"/>
      <c r="I76" s="51"/>
      <c r="J76" s="51"/>
      <c r="K76" s="51"/>
      <c r="L76" s="276"/>
      <c r="M76" s="276"/>
      <c r="N76" s="276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70"/>
      <c r="D78" s="51"/>
      <c r="E78" s="51"/>
      <c r="F78" s="51"/>
      <c r="G78" s="51"/>
      <c r="H78" s="51"/>
      <c r="I78" s="51"/>
      <c r="J78" s="51"/>
      <c r="K78" s="51"/>
      <c r="L78" s="276"/>
      <c r="M78" s="276"/>
      <c r="N78" s="276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81">
        <v>64.0</v>
      </c>
      <c r="B2" s="282"/>
      <c r="C2" s="282">
        <v>2.0</v>
      </c>
      <c r="D2" s="282">
        <v>3.0</v>
      </c>
      <c r="E2" s="282">
        <v>4.0</v>
      </c>
      <c r="F2" s="282">
        <v>5.0</v>
      </c>
      <c r="G2" s="282">
        <v>6.0</v>
      </c>
      <c r="H2" s="282">
        <v>7.0</v>
      </c>
      <c r="I2" s="282">
        <v>8.0</v>
      </c>
      <c r="J2" s="282">
        <v>9.0</v>
      </c>
      <c r="K2" s="282">
        <v>10.0</v>
      </c>
      <c r="L2" s="282">
        <v>11.0</v>
      </c>
      <c r="M2" s="282">
        <v>12.0</v>
      </c>
      <c r="N2" s="282">
        <v>13.0</v>
      </c>
      <c r="O2" s="282">
        <v>14.0</v>
      </c>
      <c r="P2" s="282">
        <v>15.0</v>
      </c>
      <c r="Q2" s="282">
        <v>16.0</v>
      </c>
      <c r="R2" s="282">
        <v>17.0</v>
      </c>
      <c r="S2" s="282">
        <v>18.0</v>
      </c>
      <c r="T2" s="282">
        <v>19.0</v>
      </c>
      <c r="U2" s="282">
        <v>20.0</v>
      </c>
      <c r="V2" s="2"/>
      <c r="W2" s="282"/>
      <c r="X2" s="282">
        <v>2.0</v>
      </c>
      <c r="Y2" s="282">
        <v>3.0</v>
      </c>
      <c r="Z2" s="282">
        <v>4.0</v>
      </c>
      <c r="AA2" s="282">
        <v>5.0</v>
      </c>
      <c r="AB2" s="282">
        <v>6.0</v>
      </c>
      <c r="AC2" s="282">
        <v>7.0</v>
      </c>
      <c r="AD2" s="282">
        <v>8.0</v>
      </c>
      <c r="AE2" s="282">
        <v>9.0</v>
      </c>
      <c r="AF2" s="282">
        <v>10.0</v>
      </c>
      <c r="AG2" s="282">
        <v>11.0</v>
      </c>
      <c r="AH2" s="282">
        <v>12.0</v>
      </c>
      <c r="AI2" s="282">
        <v>13.0</v>
      </c>
      <c r="AJ2" s="282">
        <v>14.0</v>
      </c>
      <c r="AK2" s="282">
        <v>15.0</v>
      </c>
      <c r="AL2" s="282">
        <v>16.0</v>
      </c>
      <c r="AM2" s="282">
        <v>17.0</v>
      </c>
      <c r="AN2" s="282">
        <v>18.0</v>
      </c>
      <c r="AO2" s="282">
        <v>19.0</v>
      </c>
      <c r="AP2" s="282">
        <v>20.0</v>
      </c>
    </row>
    <row r="3" ht="14.25" customHeight="1">
      <c r="A3" s="19" t="s">
        <v>229</v>
      </c>
      <c r="B3" s="283">
        <v>1.0</v>
      </c>
      <c r="C3" s="282">
        <f t="shared" ref="C3:J3" si="1">ROUND(AVERAGE($B3/(1.0278-0.0278*C$2),$B3*C$2^0.1),1)</f>
        <v>1.1</v>
      </c>
      <c r="D3" s="282">
        <f t="shared" si="1"/>
        <v>1.1</v>
      </c>
      <c r="E3" s="282">
        <f t="shared" si="1"/>
        <v>1.1</v>
      </c>
      <c r="F3" s="283">
        <f t="shared" si="1"/>
        <v>1.1</v>
      </c>
      <c r="G3" s="282">
        <f t="shared" si="1"/>
        <v>1.2</v>
      </c>
      <c r="H3" s="282">
        <f t="shared" si="1"/>
        <v>1.2</v>
      </c>
      <c r="I3" s="283">
        <f t="shared" si="1"/>
        <v>1.2</v>
      </c>
      <c r="J3" s="282">
        <f t="shared" si="1"/>
        <v>1.3</v>
      </c>
      <c r="K3" s="283">
        <f t="shared" ref="K3:U3" si="2">ROUND(AVERAGE($B3*(1+0.0333*K$2),$B3*K$2^0.1),1)</f>
        <v>1.3</v>
      </c>
      <c r="L3" s="282">
        <f t="shared" si="2"/>
        <v>1.3</v>
      </c>
      <c r="M3" s="283">
        <f t="shared" si="2"/>
        <v>1.3</v>
      </c>
      <c r="N3" s="282">
        <f t="shared" si="2"/>
        <v>1.4</v>
      </c>
      <c r="O3" s="282">
        <f t="shared" si="2"/>
        <v>1.4</v>
      </c>
      <c r="P3" s="283">
        <f t="shared" si="2"/>
        <v>1.4</v>
      </c>
      <c r="Q3" s="282">
        <f t="shared" si="2"/>
        <v>1.4</v>
      </c>
      <c r="R3" s="282">
        <f t="shared" si="2"/>
        <v>1.4</v>
      </c>
      <c r="S3" s="283">
        <f t="shared" si="2"/>
        <v>1.5</v>
      </c>
      <c r="T3" s="282">
        <f t="shared" si="2"/>
        <v>1.5</v>
      </c>
      <c r="U3" s="282">
        <f t="shared" si="2"/>
        <v>1.5</v>
      </c>
      <c r="V3" s="2"/>
      <c r="W3" s="283">
        <v>40.0</v>
      </c>
      <c r="X3" s="282">
        <f t="shared" ref="X3:AE3" si="3">ROUND(AVERAGE($W3/(1.0278-0.0278*X$2),$W3*X$2^0.1),1)</f>
        <v>42</v>
      </c>
      <c r="Y3" s="282">
        <f t="shared" si="3"/>
        <v>43.5</v>
      </c>
      <c r="Z3" s="282">
        <f t="shared" si="3"/>
        <v>44.8</v>
      </c>
      <c r="AA3" s="283">
        <f t="shared" si="3"/>
        <v>46</v>
      </c>
      <c r="AB3" s="282">
        <f t="shared" si="3"/>
        <v>47.2</v>
      </c>
      <c r="AC3" s="282">
        <f t="shared" si="3"/>
        <v>48.3</v>
      </c>
      <c r="AD3" s="283">
        <f t="shared" si="3"/>
        <v>49.5</v>
      </c>
      <c r="AE3" s="282">
        <f t="shared" si="3"/>
        <v>50.6</v>
      </c>
      <c r="AF3" s="283">
        <f t="shared" ref="AF3:AP3" si="4">ROUND(AVERAGE($W3*(1+0.0333*K$2),$W3*K$2^0.1),1)</f>
        <v>51.8</v>
      </c>
      <c r="AG3" s="282">
        <f t="shared" si="4"/>
        <v>52.7</v>
      </c>
      <c r="AH3" s="283">
        <f t="shared" si="4"/>
        <v>53.6</v>
      </c>
      <c r="AI3" s="282">
        <f t="shared" si="4"/>
        <v>54.5</v>
      </c>
      <c r="AJ3" s="282">
        <f t="shared" si="4"/>
        <v>55.4</v>
      </c>
      <c r="AK3" s="283">
        <f t="shared" si="4"/>
        <v>56.2</v>
      </c>
      <c r="AL3" s="282">
        <f t="shared" si="4"/>
        <v>57</v>
      </c>
      <c r="AM3" s="282">
        <f t="shared" si="4"/>
        <v>57.9</v>
      </c>
      <c r="AN3" s="283">
        <f t="shared" si="4"/>
        <v>58.7</v>
      </c>
      <c r="AO3" s="282">
        <f t="shared" si="4"/>
        <v>59.5</v>
      </c>
      <c r="AP3" s="282">
        <f t="shared" si="4"/>
        <v>60.3</v>
      </c>
    </row>
    <row r="4" ht="14.25" customHeight="1">
      <c r="A4" s="284" t="s">
        <v>230</v>
      </c>
      <c r="B4" s="283">
        <v>2.0</v>
      </c>
      <c r="C4" s="282">
        <f t="shared" ref="C4:J4" si="5">ROUND(AVERAGE($B4/(1.0278-0.0278*C$2),$B4*C$2^0.1),1)</f>
        <v>2.1</v>
      </c>
      <c r="D4" s="282">
        <f t="shared" si="5"/>
        <v>2.2</v>
      </c>
      <c r="E4" s="282">
        <f t="shared" si="5"/>
        <v>2.2</v>
      </c>
      <c r="F4" s="283">
        <f t="shared" si="5"/>
        <v>2.3</v>
      </c>
      <c r="G4" s="282">
        <f t="shared" si="5"/>
        <v>2.4</v>
      </c>
      <c r="H4" s="282">
        <f t="shared" si="5"/>
        <v>2.4</v>
      </c>
      <c r="I4" s="283">
        <f t="shared" si="5"/>
        <v>2.5</v>
      </c>
      <c r="J4" s="282">
        <f t="shared" si="5"/>
        <v>2.5</v>
      </c>
      <c r="K4" s="283">
        <f t="shared" ref="K4:U4" si="6">ROUND(AVERAGE($B4*(1+0.0333*K$2),$B4*K$2^0.1),1)</f>
        <v>2.6</v>
      </c>
      <c r="L4" s="282">
        <f t="shared" si="6"/>
        <v>2.6</v>
      </c>
      <c r="M4" s="283">
        <f t="shared" si="6"/>
        <v>2.7</v>
      </c>
      <c r="N4" s="282">
        <f t="shared" si="6"/>
        <v>2.7</v>
      </c>
      <c r="O4" s="282">
        <f t="shared" si="6"/>
        <v>2.8</v>
      </c>
      <c r="P4" s="283">
        <f t="shared" si="6"/>
        <v>2.8</v>
      </c>
      <c r="Q4" s="282">
        <f t="shared" si="6"/>
        <v>2.9</v>
      </c>
      <c r="R4" s="282">
        <f t="shared" si="6"/>
        <v>2.9</v>
      </c>
      <c r="S4" s="283">
        <f t="shared" si="6"/>
        <v>2.9</v>
      </c>
      <c r="T4" s="282">
        <f t="shared" si="6"/>
        <v>3</v>
      </c>
      <c r="U4" s="282">
        <f t="shared" si="6"/>
        <v>3</v>
      </c>
      <c r="V4" s="2"/>
      <c r="W4" s="283">
        <v>41.0</v>
      </c>
      <c r="X4" s="282">
        <f t="shared" ref="X4:AE4" si="7">ROUND(AVERAGE($W4/(1.0278-0.0278*X$2),$W4*X$2^0.1),1)</f>
        <v>43.1</v>
      </c>
      <c r="Y4" s="282">
        <f t="shared" si="7"/>
        <v>44.6</v>
      </c>
      <c r="Z4" s="282">
        <f t="shared" si="7"/>
        <v>45.9</v>
      </c>
      <c r="AA4" s="283">
        <f t="shared" si="7"/>
        <v>47.1</v>
      </c>
      <c r="AB4" s="282">
        <f t="shared" si="7"/>
        <v>48.3</v>
      </c>
      <c r="AC4" s="282">
        <f t="shared" si="7"/>
        <v>49.5</v>
      </c>
      <c r="AD4" s="283">
        <f t="shared" si="7"/>
        <v>50.7</v>
      </c>
      <c r="AE4" s="282">
        <f t="shared" si="7"/>
        <v>51.9</v>
      </c>
      <c r="AF4" s="283">
        <f t="shared" ref="AF4:AP4" si="8">ROUND(AVERAGE($W4*(1+0.0333*K$2),$W4*K$2^0.1),1)</f>
        <v>53.1</v>
      </c>
      <c r="AG4" s="282">
        <f t="shared" si="8"/>
        <v>54.1</v>
      </c>
      <c r="AH4" s="283">
        <f t="shared" si="8"/>
        <v>55</v>
      </c>
      <c r="AI4" s="282">
        <f t="shared" si="8"/>
        <v>55.9</v>
      </c>
      <c r="AJ4" s="282">
        <f t="shared" si="8"/>
        <v>56.7</v>
      </c>
      <c r="AK4" s="283">
        <f t="shared" si="8"/>
        <v>57.6</v>
      </c>
      <c r="AL4" s="282">
        <f t="shared" si="8"/>
        <v>58.5</v>
      </c>
      <c r="AM4" s="282">
        <f t="shared" si="8"/>
        <v>59.3</v>
      </c>
      <c r="AN4" s="283">
        <f t="shared" si="8"/>
        <v>60.2</v>
      </c>
      <c r="AO4" s="282">
        <f t="shared" si="8"/>
        <v>61</v>
      </c>
      <c r="AP4" s="282">
        <f t="shared" si="8"/>
        <v>61.8</v>
      </c>
    </row>
    <row r="5" ht="14.25" customHeight="1">
      <c r="A5" s="285" t="s">
        <v>231</v>
      </c>
      <c r="B5" s="283">
        <v>3.0</v>
      </c>
      <c r="C5" s="282">
        <f t="shared" ref="C5:J5" si="9">ROUND(AVERAGE($B5/(1.0278-0.0278*C$2),$B5*C$2^0.1),1)</f>
        <v>3.2</v>
      </c>
      <c r="D5" s="282">
        <f t="shared" si="9"/>
        <v>3.3</v>
      </c>
      <c r="E5" s="282">
        <f t="shared" si="9"/>
        <v>3.4</v>
      </c>
      <c r="F5" s="283">
        <f t="shared" si="9"/>
        <v>3.4</v>
      </c>
      <c r="G5" s="282">
        <f t="shared" si="9"/>
        <v>3.5</v>
      </c>
      <c r="H5" s="282">
        <f t="shared" si="9"/>
        <v>3.6</v>
      </c>
      <c r="I5" s="283">
        <f t="shared" si="9"/>
        <v>3.7</v>
      </c>
      <c r="J5" s="282">
        <f t="shared" si="9"/>
        <v>3.8</v>
      </c>
      <c r="K5" s="283">
        <f t="shared" ref="K5:U5" si="10">ROUND(AVERAGE($B5*(1+0.0333*K$2),$B5*K$2^0.1),1)</f>
        <v>3.9</v>
      </c>
      <c r="L5" s="282">
        <f t="shared" si="10"/>
        <v>4</v>
      </c>
      <c r="M5" s="283">
        <f t="shared" si="10"/>
        <v>4</v>
      </c>
      <c r="N5" s="282">
        <f t="shared" si="10"/>
        <v>4.1</v>
      </c>
      <c r="O5" s="282">
        <f t="shared" si="10"/>
        <v>4.2</v>
      </c>
      <c r="P5" s="283">
        <f t="shared" si="10"/>
        <v>4.2</v>
      </c>
      <c r="Q5" s="282">
        <f t="shared" si="10"/>
        <v>4.3</v>
      </c>
      <c r="R5" s="282">
        <f t="shared" si="10"/>
        <v>4.3</v>
      </c>
      <c r="S5" s="283">
        <f t="shared" si="10"/>
        <v>4.4</v>
      </c>
      <c r="T5" s="282">
        <f t="shared" si="10"/>
        <v>4.5</v>
      </c>
      <c r="U5" s="282">
        <f t="shared" si="10"/>
        <v>4.5</v>
      </c>
      <c r="V5" s="2"/>
      <c r="W5" s="283">
        <v>42.0</v>
      </c>
      <c r="X5" s="282">
        <f t="shared" ref="X5:AE5" si="11">ROUND(AVERAGE($W5/(1.0278-0.0278*X$2),$W5*X$2^0.1),1)</f>
        <v>44.1</v>
      </c>
      <c r="Y5" s="282">
        <f t="shared" si="11"/>
        <v>45.7</v>
      </c>
      <c r="Z5" s="282">
        <f t="shared" si="11"/>
        <v>47</v>
      </c>
      <c r="AA5" s="283">
        <f t="shared" si="11"/>
        <v>48.3</v>
      </c>
      <c r="AB5" s="282">
        <f t="shared" si="11"/>
        <v>49.5</v>
      </c>
      <c r="AC5" s="282">
        <f t="shared" si="11"/>
        <v>50.7</v>
      </c>
      <c r="AD5" s="283">
        <f t="shared" si="11"/>
        <v>51.9</v>
      </c>
      <c r="AE5" s="282">
        <f t="shared" si="11"/>
        <v>53.2</v>
      </c>
      <c r="AF5" s="283">
        <f t="shared" ref="AF5:AP5" si="12">ROUND(AVERAGE($W5*(1+0.0333*K$2),$W5*K$2^0.1),1)</f>
        <v>54.4</v>
      </c>
      <c r="AG5" s="282">
        <f t="shared" si="12"/>
        <v>55.4</v>
      </c>
      <c r="AH5" s="283">
        <f t="shared" si="12"/>
        <v>56.3</v>
      </c>
      <c r="AI5" s="282">
        <f t="shared" si="12"/>
        <v>57.2</v>
      </c>
      <c r="AJ5" s="282">
        <f t="shared" si="12"/>
        <v>58.1</v>
      </c>
      <c r="AK5" s="283">
        <f t="shared" si="12"/>
        <v>59</v>
      </c>
      <c r="AL5" s="282">
        <f t="shared" si="12"/>
        <v>59.9</v>
      </c>
      <c r="AM5" s="282">
        <f t="shared" si="12"/>
        <v>60.8</v>
      </c>
      <c r="AN5" s="283">
        <f t="shared" si="12"/>
        <v>61.6</v>
      </c>
      <c r="AO5" s="282">
        <f t="shared" si="12"/>
        <v>62.5</v>
      </c>
      <c r="AP5" s="282">
        <f t="shared" si="12"/>
        <v>63.3</v>
      </c>
    </row>
    <row r="6" ht="14.25" customHeight="1">
      <c r="A6" s="28" t="s">
        <v>232</v>
      </c>
      <c r="B6" s="283">
        <v>4.0</v>
      </c>
      <c r="C6" s="282">
        <f t="shared" ref="C6:J6" si="13">ROUND(AVERAGE($B6/(1.0278-0.0278*C$2),$B6*C$2^0.1),1)</f>
        <v>4.2</v>
      </c>
      <c r="D6" s="282">
        <f t="shared" si="13"/>
        <v>4.3</v>
      </c>
      <c r="E6" s="282">
        <f t="shared" si="13"/>
        <v>4.5</v>
      </c>
      <c r="F6" s="283">
        <f t="shared" si="13"/>
        <v>4.6</v>
      </c>
      <c r="G6" s="282">
        <f t="shared" si="13"/>
        <v>4.7</v>
      </c>
      <c r="H6" s="282">
        <f t="shared" si="13"/>
        <v>4.8</v>
      </c>
      <c r="I6" s="283">
        <f t="shared" si="13"/>
        <v>4.9</v>
      </c>
      <c r="J6" s="282">
        <f t="shared" si="13"/>
        <v>5.1</v>
      </c>
      <c r="K6" s="283">
        <f t="shared" ref="K6:U6" si="14">ROUND(AVERAGE($B6*(1+0.0333*K$2),$B6*K$2^0.1),1)</f>
        <v>5.2</v>
      </c>
      <c r="L6" s="282">
        <f t="shared" si="14"/>
        <v>5.3</v>
      </c>
      <c r="M6" s="283">
        <f t="shared" si="14"/>
        <v>5.4</v>
      </c>
      <c r="N6" s="282">
        <f t="shared" si="14"/>
        <v>5.5</v>
      </c>
      <c r="O6" s="282">
        <f t="shared" si="14"/>
        <v>5.5</v>
      </c>
      <c r="P6" s="283">
        <f t="shared" si="14"/>
        <v>5.6</v>
      </c>
      <c r="Q6" s="282">
        <f t="shared" si="14"/>
        <v>5.7</v>
      </c>
      <c r="R6" s="282">
        <f t="shared" si="14"/>
        <v>5.8</v>
      </c>
      <c r="S6" s="283">
        <f t="shared" si="14"/>
        <v>5.9</v>
      </c>
      <c r="T6" s="282">
        <f t="shared" si="14"/>
        <v>6</v>
      </c>
      <c r="U6" s="282">
        <f t="shared" si="14"/>
        <v>6</v>
      </c>
      <c r="V6" s="2"/>
      <c r="W6" s="283">
        <v>43.0</v>
      </c>
      <c r="X6" s="282">
        <f t="shared" ref="X6:AE6" si="15">ROUND(AVERAGE($W6/(1.0278-0.0278*X$2),$W6*X$2^0.1),1)</f>
        <v>45.2</v>
      </c>
      <c r="Y6" s="282">
        <f t="shared" si="15"/>
        <v>46.8</v>
      </c>
      <c r="Z6" s="282">
        <f t="shared" si="15"/>
        <v>48.2</v>
      </c>
      <c r="AA6" s="283">
        <f t="shared" si="15"/>
        <v>49.4</v>
      </c>
      <c r="AB6" s="282">
        <f t="shared" si="15"/>
        <v>50.7</v>
      </c>
      <c r="AC6" s="282">
        <f t="shared" si="15"/>
        <v>51.9</v>
      </c>
      <c r="AD6" s="283">
        <f t="shared" si="15"/>
        <v>53.2</v>
      </c>
      <c r="AE6" s="282">
        <f t="shared" si="15"/>
        <v>54.4</v>
      </c>
      <c r="AF6" s="283">
        <f t="shared" ref="AF6:AP6" si="16">ROUND(AVERAGE($W6*(1+0.0333*K$2),$W6*K$2^0.1),1)</f>
        <v>55.7</v>
      </c>
      <c r="AG6" s="282">
        <f t="shared" si="16"/>
        <v>56.7</v>
      </c>
      <c r="AH6" s="283">
        <f t="shared" si="16"/>
        <v>57.7</v>
      </c>
      <c r="AI6" s="282">
        <f t="shared" si="16"/>
        <v>58.6</v>
      </c>
      <c r="AJ6" s="282">
        <f t="shared" si="16"/>
        <v>59.5</v>
      </c>
      <c r="AK6" s="283">
        <f t="shared" si="16"/>
        <v>60.4</v>
      </c>
      <c r="AL6" s="282">
        <f t="shared" si="16"/>
        <v>61.3</v>
      </c>
      <c r="AM6" s="282">
        <f t="shared" si="16"/>
        <v>62.2</v>
      </c>
      <c r="AN6" s="283">
        <f t="shared" si="16"/>
        <v>63.1</v>
      </c>
      <c r="AO6" s="282">
        <f t="shared" si="16"/>
        <v>64</v>
      </c>
      <c r="AP6" s="282">
        <f t="shared" si="16"/>
        <v>64.8</v>
      </c>
    </row>
    <row r="7" ht="14.25" customHeight="1">
      <c r="A7" s="8" t="s">
        <v>233</v>
      </c>
      <c r="B7" s="283">
        <v>5.0</v>
      </c>
      <c r="C7" s="282">
        <f t="shared" ref="C7:J7" si="17">ROUND(AVERAGE($B7/(1.0278-0.0278*C$2),$B7*C$2^0.1),1)</f>
        <v>5.3</v>
      </c>
      <c r="D7" s="282">
        <f t="shared" si="17"/>
        <v>5.4</v>
      </c>
      <c r="E7" s="282">
        <f t="shared" si="17"/>
        <v>5.6</v>
      </c>
      <c r="F7" s="283">
        <f t="shared" si="17"/>
        <v>5.7</v>
      </c>
      <c r="G7" s="282">
        <f t="shared" si="17"/>
        <v>5.9</v>
      </c>
      <c r="H7" s="282">
        <f t="shared" si="17"/>
        <v>6</v>
      </c>
      <c r="I7" s="283">
        <f t="shared" si="17"/>
        <v>6.2</v>
      </c>
      <c r="J7" s="282">
        <f t="shared" si="17"/>
        <v>6.3</v>
      </c>
      <c r="K7" s="283">
        <f t="shared" ref="K7:U7" si="18">ROUND(AVERAGE($B7*(1+0.0333*K$2),$B7*K$2^0.1),1)</f>
        <v>6.5</v>
      </c>
      <c r="L7" s="282">
        <f t="shared" si="18"/>
        <v>6.6</v>
      </c>
      <c r="M7" s="283">
        <f t="shared" si="18"/>
        <v>6.7</v>
      </c>
      <c r="N7" s="282">
        <f t="shared" si="18"/>
        <v>6.8</v>
      </c>
      <c r="O7" s="282">
        <f t="shared" si="18"/>
        <v>6.9</v>
      </c>
      <c r="P7" s="283">
        <f t="shared" si="18"/>
        <v>7</v>
      </c>
      <c r="Q7" s="282">
        <f t="shared" si="18"/>
        <v>7.1</v>
      </c>
      <c r="R7" s="282">
        <f t="shared" si="18"/>
        <v>7.2</v>
      </c>
      <c r="S7" s="283">
        <f t="shared" si="18"/>
        <v>7.3</v>
      </c>
      <c r="T7" s="282">
        <f t="shared" si="18"/>
        <v>7.4</v>
      </c>
      <c r="U7" s="282">
        <f t="shared" si="18"/>
        <v>7.5</v>
      </c>
      <c r="V7" s="2"/>
      <c r="W7" s="283">
        <v>44.0</v>
      </c>
      <c r="X7" s="282">
        <f t="shared" ref="X7:AE7" si="19">ROUND(AVERAGE($W7/(1.0278-0.0278*X$2),$W7*X$2^0.1),1)</f>
        <v>46.2</v>
      </c>
      <c r="Y7" s="282">
        <f t="shared" si="19"/>
        <v>47.8</v>
      </c>
      <c r="Z7" s="282">
        <f t="shared" si="19"/>
        <v>49.3</v>
      </c>
      <c r="AA7" s="283">
        <f t="shared" si="19"/>
        <v>50.6</v>
      </c>
      <c r="AB7" s="282">
        <f t="shared" si="19"/>
        <v>51.9</v>
      </c>
      <c r="AC7" s="282">
        <f t="shared" si="19"/>
        <v>53.1</v>
      </c>
      <c r="AD7" s="283">
        <f t="shared" si="19"/>
        <v>54.4</v>
      </c>
      <c r="AE7" s="282">
        <f t="shared" si="19"/>
        <v>55.7</v>
      </c>
      <c r="AF7" s="283">
        <f t="shared" ref="AF7:AP7" si="20">ROUND(AVERAGE($W7*(1+0.0333*K$2),$W7*K$2^0.1),1)</f>
        <v>57</v>
      </c>
      <c r="AG7" s="282">
        <f t="shared" si="20"/>
        <v>58</v>
      </c>
      <c r="AH7" s="283">
        <f t="shared" si="20"/>
        <v>59</v>
      </c>
      <c r="AI7" s="282">
        <f t="shared" si="20"/>
        <v>60</v>
      </c>
      <c r="AJ7" s="282">
        <f t="shared" si="20"/>
        <v>60.9</v>
      </c>
      <c r="AK7" s="283">
        <f t="shared" si="20"/>
        <v>61.8</v>
      </c>
      <c r="AL7" s="282">
        <f t="shared" si="20"/>
        <v>62.8</v>
      </c>
      <c r="AM7" s="282">
        <f t="shared" si="20"/>
        <v>63.7</v>
      </c>
      <c r="AN7" s="283">
        <f t="shared" si="20"/>
        <v>64.6</v>
      </c>
      <c r="AO7" s="282">
        <f t="shared" si="20"/>
        <v>65.5</v>
      </c>
      <c r="AP7" s="282">
        <f t="shared" si="20"/>
        <v>66.3</v>
      </c>
    </row>
    <row r="8" ht="14.25" customHeight="1">
      <c r="A8" s="2"/>
      <c r="B8" s="283">
        <v>6.0</v>
      </c>
      <c r="C8" s="282">
        <f t="shared" ref="C8:J8" si="21">ROUND(AVERAGE($B8/(1.0278-0.0278*C$2),$B8*C$2^0.1),1)</f>
        <v>6.3</v>
      </c>
      <c r="D8" s="282">
        <f t="shared" si="21"/>
        <v>6.5</v>
      </c>
      <c r="E8" s="282">
        <f t="shared" si="21"/>
        <v>6.7</v>
      </c>
      <c r="F8" s="283">
        <f t="shared" si="21"/>
        <v>6.9</v>
      </c>
      <c r="G8" s="282">
        <f t="shared" si="21"/>
        <v>7.1</v>
      </c>
      <c r="H8" s="282">
        <f t="shared" si="21"/>
        <v>7.2</v>
      </c>
      <c r="I8" s="283">
        <f t="shared" si="21"/>
        <v>7.4</v>
      </c>
      <c r="J8" s="282">
        <f t="shared" si="21"/>
        <v>7.6</v>
      </c>
      <c r="K8" s="283">
        <f t="shared" ref="K8:U8" si="22">ROUND(AVERAGE($B8*(1+0.0333*K$2),$B8*K$2^0.1),1)</f>
        <v>7.8</v>
      </c>
      <c r="L8" s="282">
        <f t="shared" si="22"/>
        <v>7.9</v>
      </c>
      <c r="M8" s="283">
        <f t="shared" si="22"/>
        <v>8</v>
      </c>
      <c r="N8" s="282">
        <f t="shared" si="22"/>
        <v>8.2</v>
      </c>
      <c r="O8" s="282">
        <f t="shared" si="22"/>
        <v>8.3</v>
      </c>
      <c r="P8" s="283">
        <f t="shared" si="22"/>
        <v>8.4</v>
      </c>
      <c r="Q8" s="282">
        <f t="shared" si="22"/>
        <v>8.6</v>
      </c>
      <c r="R8" s="282">
        <f t="shared" si="22"/>
        <v>8.7</v>
      </c>
      <c r="S8" s="283">
        <f t="shared" si="22"/>
        <v>8.8</v>
      </c>
      <c r="T8" s="282">
        <f t="shared" si="22"/>
        <v>8.9</v>
      </c>
      <c r="U8" s="282">
        <f t="shared" si="22"/>
        <v>9</v>
      </c>
      <c r="V8" s="2"/>
      <c r="W8" s="283">
        <v>45.0</v>
      </c>
      <c r="X8" s="282">
        <f t="shared" ref="X8:AE8" si="23">ROUND(AVERAGE($W8/(1.0278-0.0278*X$2),$W8*X$2^0.1),1)</f>
        <v>47.3</v>
      </c>
      <c r="Y8" s="282">
        <f t="shared" si="23"/>
        <v>48.9</v>
      </c>
      <c r="Z8" s="282">
        <f t="shared" si="23"/>
        <v>50.4</v>
      </c>
      <c r="AA8" s="283">
        <f t="shared" si="23"/>
        <v>51.7</v>
      </c>
      <c r="AB8" s="282">
        <f t="shared" si="23"/>
        <v>53</v>
      </c>
      <c r="AC8" s="282">
        <f t="shared" si="23"/>
        <v>54.3</v>
      </c>
      <c r="AD8" s="283">
        <f t="shared" si="23"/>
        <v>55.6</v>
      </c>
      <c r="AE8" s="282">
        <f t="shared" si="23"/>
        <v>57</v>
      </c>
      <c r="AF8" s="283">
        <f t="shared" ref="AF8:AP8" si="24">ROUND(AVERAGE($W8*(1+0.0333*K$2),$W8*K$2^0.1),1)</f>
        <v>58.3</v>
      </c>
      <c r="AG8" s="282">
        <f t="shared" si="24"/>
        <v>59.3</v>
      </c>
      <c r="AH8" s="283">
        <f t="shared" si="24"/>
        <v>60.3</v>
      </c>
      <c r="AI8" s="282">
        <f t="shared" si="24"/>
        <v>61.3</v>
      </c>
      <c r="AJ8" s="282">
        <f t="shared" si="24"/>
        <v>62.3</v>
      </c>
      <c r="AK8" s="283">
        <f t="shared" si="24"/>
        <v>63.2</v>
      </c>
      <c r="AL8" s="282">
        <f t="shared" si="24"/>
        <v>64.2</v>
      </c>
      <c r="AM8" s="282">
        <f t="shared" si="24"/>
        <v>65.1</v>
      </c>
      <c r="AN8" s="283">
        <f t="shared" si="24"/>
        <v>66</v>
      </c>
      <c r="AO8" s="282">
        <f t="shared" si="24"/>
        <v>66.9</v>
      </c>
      <c r="AP8" s="282">
        <f t="shared" si="24"/>
        <v>67.8</v>
      </c>
    </row>
    <row r="9" ht="14.25" customHeight="1">
      <c r="A9" s="2"/>
      <c r="B9" s="283">
        <v>7.0</v>
      </c>
      <c r="C9" s="282">
        <f t="shared" ref="C9:J9" si="25">ROUND(AVERAGE($B9/(1.0278-0.0278*C$2),$B9*C$2^0.1),1)</f>
        <v>7.4</v>
      </c>
      <c r="D9" s="282">
        <f t="shared" si="25"/>
        <v>7.6</v>
      </c>
      <c r="E9" s="282">
        <f t="shared" si="25"/>
        <v>7.8</v>
      </c>
      <c r="F9" s="283">
        <f t="shared" si="25"/>
        <v>8</v>
      </c>
      <c r="G9" s="282">
        <f t="shared" si="25"/>
        <v>8.3</v>
      </c>
      <c r="H9" s="282">
        <f t="shared" si="25"/>
        <v>8.5</v>
      </c>
      <c r="I9" s="283">
        <f t="shared" si="25"/>
        <v>8.7</v>
      </c>
      <c r="J9" s="282">
        <f t="shared" si="25"/>
        <v>8.9</v>
      </c>
      <c r="K9" s="283">
        <f t="shared" ref="K9:U9" si="26">ROUND(AVERAGE($B9*(1+0.0333*K$2),$B9*K$2^0.1),1)</f>
        <v>9.1</v>
      </c>
      <c r="L9" s="282">
        <f t="shared" si="26"/>
        <v>9.2</v>
      </c>
      <c r="M9" s="283">
        <f t="shared" si="26"/>
        <v>9.4</v>
      </c>
      <c r="N9" s="282">
        <f t="shared" si="26"/>
        <v>9.5</v>
      </c>
      <c r="O9" s="282">
        <f t="shared" si="26"/>
        <v>9.7</v>
      </c>
      <c r="P9" s="283">
        <f t="shared" si="26"/>
        <v>9.8</v>
      </c>
      <c r="Q9" s="282">
        <f t="shared" si="26"/>
        <v>10</v>
      </c>
      <c r="R9" s="282">
        <f t="shared" si="26"/>
        <v>10.1</v>
      </c>
      <c r="S9" s="283">
        <f t="shared" si="26"/>
        <v>10.3</v>
      </c>
      <c r="T9" s="282">
        <f t="shared" si="26"/>
        <v>10.4</v>
      </c>
      <c r="U9" s="282">
        <f t="shared" si="26"/>
        <v>10.6</v>
      </c>
      <c r="V9" s="2"/>
      <c r="W9" s="283">
        <v>46.0</v>
      </c>
      <c r="X9" s="282">
        <f t="shared" ref="X9:AE9" si="27">ROUND(AVERAGE($W9/(1.0278-0.0278*X$2),$W9*X$2^0.1),1)</f>
        <v>48.3</v>
      </c>
      <c r="Y9" s="282">
        <f t="shared" si="27"/>
        <v>50</v>
      </c>
      <c r="Z9" s="282">
        <f t="shared" si="27"/>
        <v>51.5</v>
      </c>
      <c r="AA9" s="283">
        <f t="shared" si="27"/>
        <v>52.9</v>
      </c>
      <c r="AB9" s="282">
        <f t="shared" si="27"/>
        <v>54.2</v>
      </c>
      <c r="AC9" s="282">
        <f t="shared" si="27"/>
        <v>55.5</v>
      </c>
      <c r="AD9" s="283">
        <f t="shared" si="27"/>
        <v>56.9</v>
      </c>
      <c r="AE9" s="282">
        <f t="shared" si="27"/>
        <v>58.2</v>
      </c>
      <c r="AF9" s="283">
        <f t="shared" ref="AF9:AP9" si="28">ROUND(AVERAGE($W9*(1+0.0333*K$2),$W9*K$2^0.1),1)</f>
        <v>59.6</v>
      </c>
      <c r="AG9" s="282">
        <f t="shared" si="28"/>
        <v>60.7</v>
      </c>
      <c r="AH9" s="283">
        <f t="shared" si="28"/>
        <v>61.7</v>
      </c>
      <c r="AI9" s="282">
        <f t="shared" si="28"/>
        <v>62.7</v>
      </c>
      <c r="AJ9" s="282">
        <f t="shared" si="28"/>
        <v>63.7</v>
      </c>
      <c r="AK9" s="283">
        <f t="shared" si="28"/>
        <v>64.6</v>
      </c>
      <c r="AL9" s="282">
        <f t="shared" si="28"/>
        <v>65.6</v>
      </c>
      <c r="AM9" s="282">
        <f t="shared" si="28"/>
        <v>66.6</v>
      </c>
      <c r="AN9" s="283">
        <f t="shared" si="28"/>
        <v>67.5</v>
      </c>
      <c r="AO9" s="282">
        <f t="shared" si="28"/>
        <v>68.4</v>
      </c>
      <c r="AP9" s="282">
        <f t="shared" si="28"/>
        <v>69.4</v>
      </c>
    </row>
    <row r="10" ht="14.25" customHeight="1">
      <c r="A10" s="2"/>
      <c r="B10" s="283">
        <v>8.0</v>
      </c>
      <c r="C10" s="282">
        <f t="shared" ref="C10:J10" si="29">ROUND(AVERAGE($B10/(1.0278-0.0278*C$2),$B10*C$2^0.1),1)</f>
        <v>8.4</v>
      </c>
      <c r="D10" s="282">
        <f t="shared" si="29"/>
        <v>8.7</v>
      </c>
      <c r="E10" s="282">
        <f t="shared" si="29"/>
        <v>9</v>
      </c>
      <c r="F10" s="283">
        <f t="shared" si="29"/>
        <v>9.2</v>
      </c>
      <c r="G10" s="282">
        <f t="shared" si="29"/>
        <v>9.4</v>
      </c>
      <c r="H10" s="282">
        <f t="shared" si="29"/>
        <v>9.7</v>
      </c>
      <c r="I10" s="283">
        <f t="shared" si="29"/>
        <v>9.9</v>
      </c>
      <c r="J10" s="282">
        <f t="shared" si="29"/>
        <v>10.1</v>
      </c>
      <c r="K10" s="283">
        <f t="shared" ref="K10:U10" si="30">ROUND(AVERAGE($B10*(1+0.0333*K$2),$B10*K$2^0.1),1)</f>
        <v>10.4</v>
      </c>
      <c r="L10" s="282">
        <f t="shared" si="30"/>
        <v>10.5</v>
      </c>
      <c r="M10" s="283">
        <f t="shared" si="30"/>
        <v>10.7</v>
      </c>
      <c r="N10" s="282">
        <f t="shared" si="30"/>
        <v>10.9</v>
      </c>
      <c r="O10" s="282">
        <f t="shared" si="30"/>
        <v>11.1</v>
      </c>
      <c r="P10" s="283">
        <f t="shared" si="30"/>
        <v>11.2</v>
      </c>
      <c r="Q10" s="282">
        <f t="shared" si="30"/>
        <v>11.4</v>
      </c>
      <c r="R10" s="282">
        <f t="shared" si="30"/>
        <v>11.6</v>
      </c>
      <c r="S10" s="283">
        <f t="shared" si="30"/>
        <v>11.7</v>
      </c>
      <c r="T10" s="282">
        <f t="shared" si="30"/>
        <v>11.9</v>
      </c>
      <c r="U10" s="282">
        <f t="shared" si="30"/>
        <v>12.1</v>
      </c>
      <c r="V10" s="2"/>
      <c r="W10" s="283">
        <v>47.0</v>
      </c>
      <c r="X10" s="282">
        <f t="shared" ref="X10:AE10" si="31">ROUND(AVERAGE($W10/(1.0278-0.0278*X$2),$W10*X$2^0.1),1)</f>
        <v>49.4</v>
      </c>
      <c r="Y10" s="282">
        <f t="shared" si="31"/>
        <v>51.1</v>
      </c>
      <c r="Z10" s="282">
        <f t="shared" si="31"/>
        <v>52.6</v>
      </c>
      <c r="AA10" s="283">
        <f t="shared" si="31"/>
        <v>54</v>
      </c>
      <c r="AB10" s="282">
        <f t="shared" si="31"/>
        <v>55.4</v>
      </c>
      <c r="AC10" s="282">
        <f t="shared" si="31"/>
        <v>56.8</v>
      </c>
      <c r="AD10" s="283">
        <f t="shared" si="31"/>
        <v>58.1</v>
      </c>
      <c r="AE10" s="282">
        <f t="shared" si="31"/>
        <v>59.5</v>
      </c>
      <c r="AF10" s="283">
        <f t="shared" ref="AF10:AP10" si="32">ROUND(AVERAGE($W10*(1+0.0333*K$2),$W10*K$2^0.1),1)</f>
        <v>60.9</v>
      </c>
      <c r="AG10" s="282">
        <f t="shared" si="32"/>
        <v>62</v>
      </c>
      <c r="AH10" s="283">
        <f t="shared" si="32"/>
        <v>63</v>
      </c>
      <c r="AI10" s="282">
        <f t="shared" si="32"/>
        <v>64</v>
      </c>
      <c r="AJ10" s="282">
        <f t="shared" si="32"/>
        <v>65.1</v>
      </c>
      <c r="AK10" s="283">
        <f t="shared" si="32"/>
        <v>66</v>
      </c>
      <c r="AL10" s="282">
        <f t="shared" si="32"/>
        <v>67</v>
      </c>
      <c r="AM10" s="282">
        <f t="shared" si="32"/>
        <v>68</v>
      </c>
      <c r="AN10" s="283">
        <f t="shared" si="32"/>
        <v>69</v>
      </c>
      <c r="AO10" s="282">
        <f t="shared" si="32"/>
        <v>69.9</v>
      </c>
      <c r="AP10" s="282">
        <f t="shared" si="32"/>
        <v>70.9</v>
      </c>
    </row>
    <row r="11" ht="14.25" customHeight="1">
      <c r="A11" s="2"/>
      <c r="B11" s="283">
        <v>9.0</v>
      </c>
      <c r="C11" s="282">
        <f t="shared" ref="C11:J11" si="33">ROUND(AVERAGE($B11/(1.0278-0.0278*C$2),$B11*C$2^0.1),1)</f>
        <v>9.5</v>
      </c>
      <c r="D11" s="282">
        <f t="shared" si="33"/>
        <v>9.8</v>
      </c>
      <c r="E11" s="282">
        <f t="shared" si="33"/>
        <v>10.1</v>
      </c>
      <c r="F11" s="283">
        <f t="shared" si="33"/>
        <v>10.3</v>
      </c>
      <c r="G11" s="282">
        <f t="shared" si="33"/>
        <v>10.6</v>
      </c>
      <c r="H11" s="282">
        <f t="shared" si="33"/>
        <v>10.9</v>
      </c>
      <c r="I11" s="283">
        <f t="shared" si="33"/>
        <v>11.1</v>
      </c>
      <c r="J11" s="282">
        <f t="shared" si="33"/>
        <v>11.4</v>
      </c>
      <c r="K11" s="283">
        <f t="shared" ref="K11:U11" si="34">ROUND(AVERAGE($B11*(1+0.0333*K$2),$B11*K$2^0.1),1)</f>
        <v>11.7</v>
      </c>
      <c r="L11" s="282">
        <f t="shared" si="34"/>
        <v>11.9</v>
      </c>
      <c r="M11" s="283">
        <f t="shared" si="34"/>
        <v>12.1</v>
      </c>
      <c r="N11" s="282">
        <f t="shared" si="34"/>
        <v>12.3</v>
      </c>
      <c r="O11" s="282">
        <f t="shared" si="34"/>
        <v>12.5</v>
      </c>
      <c r="P11" s="283">
        <f t="shared" si="34"/>
        <v>12.6</v>
      </c>
      <c r="Q11" s="282">
        <f t="shared" si="34"/>
        <v>12.8</v>
      </c>
      <c r="R11" s="282">
        <f t="shared" si="34"/>
        <v>13</v>
      </c>
      <c r="S11" s="283">
        <f t="shared" si="34"/>
        <v>13.2</v>
      </c>
      <c r="T11" s="282">
        <f t="shared" si="34"/>
        <v>13.4</v>
      </c>
      <c r="U11" s="282">
        <f t="shared" si="34"/>
        <v>13.6</v>
      </c>
      <c r="V11" s="2"/>
      <c r="W11" s="283">
        <v>48.0</v>
      </c>
      <c r="X11" s="282">
        <f t="shared" ref="X11:AE11" si="35">ROUND(AVERAGE($W11/(1.0278-0.0278*X$2),$W11*X$2^0.1),1)</f>
        <v>50.4</v>
      </c>
      <c r="Y11" s="282">
        <f t="shared" si="35"/>
        <v>52.2</v>
      </c>
      <c r="Z11" s="282">
        <f t="shared" si="35"/>
        <v>53.8</v>
      </c>
      <c r="AA11" s="283">
        <f t="shared" si="35"/>
        <v>55.2</v>
      </c>
      <c r="AB11" s="282">
        <f t="shared" si="35"/>
        <v>56.6</v>
      </c>
      <c r="AC11" s="282">
        <f t="shared" si="35"/>
        <v>58</v>
      </c>
      <c r="AD11" s="283">
        <f t="shared" si="35"/>
        <v>59.3</v>
      </c>
      <c r="AE11" s="282">
        <f t="shared" si="35"/>
        <v>60.8</v>
      </c>
      <c r="AF11" s="283">
        <f t="shared" ref="AF11:AP11" si="36">ROUND(AVERAGE($W11*(1+0.0333*K$2),$W11*K$2^0.1),1)</f>
        <v>62.2</v>
      </c>
      <c r="AG11" s="282">
        <f t="shared" si="36"/>
        <v>63.3</v>
      </c>
      <c r="AH11" s="283">
        <f t="shared" si="36"/>
        <v>64.4</v>
      </c>
      <c r="AI11" s="282">
        <f t="shared" si="36"/>
        <v>65.4</v>
      </c>
      <c r="AJ11" s="282">
        <f t="shared" si="36"/>
        <v>66.4</v>
      </c>
      <c r="AK11" s="283">
        <f t="shared" si="36"/>
        <v>67.5</v>
      </c>
      <c r="AL11" s="282">
        <f t="shared" si="36"/>
        <v>68.5</v>
      </c>
      <c r="AM11" s="282">
        <f t="shared" si="36"/>
        <v>69.4</v>
      </c>
      <c r="AN11" s="283">
        <f t="shared" si="36"/>
        <v>70.4</v>
      </c>
      <c r="AO11" s="282">
        <f t="shared" si="36"/>
        <v>71.4</v>
      </c>
      <c r="AP11" s="282">
        <f t="shared" si="36"/>
        <v>72.4</v>
      </c>
    </row>
    <row r="12" ht="14.25" customHeight="1">
      <c r="A12" s="2"/>
      <c r="B12" s="283">
        <v>10.0</v>
      </c>
      <c r="C12" s="282">
        <f t="shared" ref="C12:J12" si="37">ROUND(AVERAGE($B12/(1.0278-0.0278*C$2),$B12*C$2^0.1),1)</f>
        <v>10.5</v>
      </c>
      <c r="D12" s="282">
        <f t="shared" si="37"/>
        <v>10.9</v>
      </c>
      <c r="E12" s="282">
        <f t="shared" si="37"/>
        <v>11.2</v>
      </c>
      <c r="F12" s="283">
        <f t="shared" si="37"/>
        <v>11.5</v>
      </c>
      <c r="G12" s="282">
        <f t="shared" si="37"/>
        <v>11.8</v>
      </c>
      <c r="H12" s="282">
        <f t="shared" si="37"/>
        <v>12.1</v>
      </c>
      <c r="I12" s="283">
        <f t="shared" si="37"/>
        <v>12.4</v>
      </c>
      <c r="J12" s="282">
        <f t="shared" si="37"/>
        <v>12.7</v>
      </c>
      <c r="K12" s="283">
        <f t="shared" ref="K12:U12" si="38">ROUND(AVERAGE($B12*(1+0.0333*K$2),$B12*K$2^0.1),1)</f>
        <v>13</v>
      </c>
      <c r="L12" s="282">
        <f t="shared" si="38"/>
        <v>13.2</v>
      </c>
      <c r="M12" s="283">
        <f t="shared" si="38"/>
        <v>13.4</v>
      </c>
      <c r="N12" s="282">
        <f t="shared" si="38"/>
        <v>13.6</v>
      </c>
      <c r="O12" s="282">
        <f t="shared" si="38"/>
        <v>13.8</v>
      </c>
      <c r="P12" s="283">
        <f t="shared" si="38"/>
        <v>14.1</v>
      </c>
      <c r="Q12" s="282">
        <f t="shared" si="38"/>
        <v>14.3</v>
      </c>
      <c r="R12" s="282">
        <f t="shared" si="38"/>
        <v>14.5</v>
      </c>
      <c r="S12" s="283">
        <f t="shared" si="38"/>
        <v>14.7</v>
      </c>
      <c r="T12" s="282">
        <f t="shared" si="38"/>
        <v>14.9</v>
      </c>
      <c r="U12" s="282">
        <f t="shared" si="38"/>
        <v>15.1</v>
      </c>
      <c r="V12" s="2"/>
      <c r="W12" s="283">
        <v>49.0</v>
      </c>
      <c r="X12" s="282">
        <f t="shared" ref="X12:AE12" si="39">ROUND(AVERAGE($W12/(1.0278-0.0278*X$2),$W12*X$2^0.1),1)</f>
        <v>51.5</v>
      </c>
      <c r="Y12" s="282">
        <f t="shared" si="39"/>
        <v>53.3</v>
      </c>
      <c r="Z12" s="282">
        <f t="shared" si="39"/>
        <v>54.9</v>
      </c>
      <c r="AA12" s="283">
        <f t="shared" si="39"/>
        <v>56.3</v>
      </c>
      <c r="AB12" s="282">
        <f t="shared" si="39"/>
        <v>57.8</v>
      </c>
      <c r="AC12" s="282">
        <f t="shared" si="39"/>
        <v>59.2</v>
      </c>
      <c r="AD12" s="283">
        <f t="shared" si="39"/>
        <v>60.6</v>
      </c>
      <c r="AE12" s="282">
        <f t="shared" si="39"/>
        <v>62</v>
      </c>
      <c r="AF12" s="283">
        <f t="shared" ref="AF12:AP12" si="40">ROUND(AVERAGE($W12*(1+0.0333*K$2),$W12*K$2^0.1),1)</f>
        <v>63.5</v>
      </c>
      <c r="AG12" s="282">
        <f t="shared" si="40"/>
        <v>64.6</v>
      </c>
      <c r="AH12" s="283">
        <f t="shared" si="40"/>
        <v>65.7</v>
      </c>
      <c r="AI12" s="282">
        <f t="shared" si="40"/>
        <v>66.8</v>
      </c>
      <c r="AJ12" s="282">
        <f t="shared" si="40"/>
        <v>67.8</v>
      </c>
      <c r="AK12" s="283">
        <f t="shared" si="40"/>
        <v>68.9</v>
      </c>
      <c r="AL12" s="282">
        <f t="shared" si="40"/>
        <v>69.9</v>
      </c>
      <c r="AM12" s="282">
        <f t="shared" si="40"/>
        <v>70.9</v>
      </c>
      <c r="AN12" s="283">
        <f t="shared" si="40"/>
        <v>71.9</v>
      </c>
      <c r="AO12" s="282">
        <f t="shared" si="40"/>
        <v>72.9</v>
      </c>
      <c r="AP12" s="282">
        <f t="shared" si="40"/>
        <v>73.9</v>
      </c>
    </row>
    <row r="13" ht="14.25" customHeight="1">
      <c r="A13" s="2"/>
      <c r="B13" s="283">
        <v>11.0</v>
      </c>
      <c r="C13" s="282">
        <f t="shared" ref="C13:J13" si="41">ROUND(AVERAGE($B13/(1.0278-0.0278*C$2),$B13*C$2^0.1),1)</f>
        <v>11.6</v>
      </c>
      <c r="D13" s="282">
        <f t="shared" si="41"/>
        <v>12</v>
      </c>
      <c r="E13" s="282">
        <f t="shared" si="41"/>
        <v>12.3</v>
      </c>
      <c r="F13" s="283">
        <f t="shared" si="41"/>
        <v>12.6</v>
      </c>
      <c r="G13" s="282">
        <f t="shared" si="41"/>
        <v>13</v>
      </c>
      <c r="H13" s="282">
        <f t="shared" si="41"/>
        <v>13.3</v>
      </c>
      <c r="I13" s="283">
        <f t="shared" si="41"/>
        <v>13.6</v>
      </c>
      <c r="J13" s="282">
        <f t="shared" si="41"/>
        <v>13.9</v>
      </c>
      <c r="K13" s="283">
        <f t="shared" ref="K13:U13" si="42">ROUND(AVERAGE($B13*(1+0.0333*K$2),$B13*K$2^0.1),1)</f>
        <v>14.3</v>
      </c>
      <c r="L13" s="282">
        <f t="shared" si="42"/>
        <v>14.5</v>
      </c>
      <c r="M13" s="283">
        <f t="shared" si="42"/>
        <v>14.7</v>
      </c>
      <c r="N13" s="282">
        <f t="shared" si="42"/>
        <v>15</v>
      </c>
      <c r="O13" s="282">
        <f t="shared" si="42"/>
        <v>15.2</v>
      </c>
      <c r="P13" s="283">
        <f t="shared" si="42"/>
        <v>15.5</v>
      </c>
      <c r="Q13" s="282">
        <f t="shared" si="42"/>
        <v>15.7</v>
      </c>
      <c r="R13" s="282">
        <f t="shared" si="42"/>
        <v>15.9</v>
      </c>
      <c r="S13" s="283">
        <f t="shared" si="42"/>
        <v>16.1</v>
      </c>
      <c r="T13" s="282">
        <f t="shared" si="42"/>
        <v>16.4</v>
      </c>
      <c r="U13" s="282">
        <f t="shared" si="42"/>
        <v>16.6</v>
      </c>
      <c r="V13" s="2"/>
      <c r="W13" s="283">
        <v>50.0</v>
      </c>
      <c r="X13" s="282">
        <f t="shared" ref="X13:AE13" si="43">ROUND(AVERAGE($W13/(1.0278-0.0278*X$2),$W13*X$2^0.1),1)</f>
        <v>52.5</v>
      </c>
      <c r="Y13" s="282">
        <f t="shared" si="43"/>
        <v>54.4</v>
      </c>
      <c r="Z13" s="282">
        <f t="shared" si="43"/>
        <v>56</v>
      </c>
      <c r="AA13" s="283">
        <f t="shared" si="43"/>
        <v>57.5</v>
      </c>
      <c r="AB13" s="282">
        <f t="shared" si="43"/>
        <v>58.9</v>
      </c>
      <c r="AC13" s="282">
        <f t="shared" si="43"/>
        <v>60.4</v>
      </c>
      <c r="AD13" s="283">
        <f t="shared" si="43"/>
        <v>61.8</v>
      </c>
      <c r="AE13" s="282">
        <f t="shared" si="43"/>
        <v>63.3</v>
      </c>
      <c r="AF13" s="283">
        <f t="shared" ref="AF13:AP13" si="44">ROUND(AVERAGE($W13*(1+0.0333*K$2),$W13*K$2^0.1),1)</f>
        <v>64.8</v>
      </c>
      <c r="AG13" s="282">
        <f t="shared" si="44"/>
        <v>65.9</v>
      </c>
      <c r="AH13" s="283">
        <f t="shared" si="44"/>
        <v>67</v>
      </c>
      <c r="AI13" s="282">
        <f t="shared" si="44"/>
        <v>68.1</v>
      </c>
      <c r="AJ13" s="282">
        <f t="shared" si="44"/>
        <v>69.2</v>
      </c>
      <c r="AK13" s="283">
        <f t="shared" si="44"/>
        <v>70.3</v>
      </c>
      <c r="AL13" s="282">
        <f t="shared" si="44"/>
        <v>71.3</v>
      </c>
      <c r="AM13" s="282">
        <f t="shared" si="44"/>
        <v>72.3</v>
      </c>
      <c r="AN13" s="283">
        <f t="shared" si="44"/>
        <v>73.4</v>
      </c>
      <c r="AO13" s="282">
        <f t="shared" si="44"/>
        <v>74.4</v>
      </c>
      <c r="AP13" s="282">
        <f t="shared" si="44"/>
        <v>75.4</v>
      </c>
    </row>
    <row r="14" ht="14.25" customHeight="1">
      <c r="A14" s="2"/>
      <c r="B14" s="283">
        <v>12.0</v>
      </c>
      <c r="C14" s="282">
        <f t="shared" ref="C14:J14" si="45">ROUND(AVERAGE($B14/(1.0278-0.0278*C$2),$B14*C$2^0.1),1)</f>
        <v>12.6</v>
      </c>
      <c r="D14" s="282">
        <f t="shared" si="45"/>
        <v>13</v>
      </c>
      <c r="E14" s="282">
        <f t="shared" si="45"/>
        <v>13.4</v>
      </c>
      <c r="F14" s="283">
        <f t="shared" si="45"/>
        <v>13.8</v>
      </c>
      <c r="G14" s="282">
        <f t="shared" si="45"/>
        <v>14.1</v>
      </c>
      <c r="H14" s="282">
        <f t="shared" si="45"/>
        <v>14.5</v>
      </c>
      <c r="I14" s="283">
        <f t="shared" si="45"/>
        <v>14.8</v>
      </c>
      <c r="J14" s="282">
        <f t="shared" si="45"/>
        <v>15.2</v>
      </c>
      <c r="K14" s="283">
        <f t="shared" ref="K14:U14" si="46">ROUND(AVERAGE($B14*(1+0.0333*K$2),$B14*K$2^0.1),1)</f>
        <v>15.6</v>
      </c>
      <c r="L14" s="282">
        <f t="shared" si="46"/>
        <v>15.8</v>
      </c>
      <c r="M14" s="283">
        <f t="shared" si="46"/>
        <v>16.1</v>
      </c>
      <c r="N14" s="282">
        <f t="shared" si="46"/>
        <v>16.4</v>
      </c>
      <c r="O14" s="282">
        <f t="shared" si="46"/>
        <v>16.6</v>
      </c>
      <c r="P14" s="283">
        <f t="shared" si="46"/>
        <v>16.9</v>
      </c>
      <c r="Q14" s="282">
        <f t="shared" si="46"/>
        <v>17.1</v>
      </c>
      <c r="R14" s="282">
        <f t="shared" si="46"/>
        <v>17.4</v>
      </c>
      <c r="S14" s="283">
        <f t="shared" si="46"/>
        <v>17.6</v>
      </c>
      <c r="T14" s="282">
        <f t="shared" si="46"/>
        <v>17.9</v>
      </c>
      <c r="U14" s="282">
        <f t="shared" si="46"/>
        <v>18.1</v>
      </c>
      <c r="V14" s="2"/>
      <c r="W14" s="283">
        <v>51.0</v>
      </c>
      <c r="X14" s="282">
        <f t="shared" ref="X14:AE14" si="47">ROUND(AVERAGE($W14/(1.0278-0.0278*X$2),$W14*X$2^0.1),1)</f>
        <v>53.6</v>
      </c>
      <c r="Y14" s="282">
        <f t="shared" si="47"/>
        <v>55.5</v>
      </c>
      <c r="Z14" s="282">
        <f t="shared" si="47"/>
        <v>57.1</v>
      </c>
      <c r="AA14" s="283">
        <f t="shared" si="47"/>
        <v>58.6</v>
      </c>
      <c r="AB14" s="282">
        <f t="shared" si="47"/>
        <v>60.1</v>
      </c>
      <c r="AC14" s="282">
        <f t="shared" si="47"/>
        <v>61.6</v>
      </c>
      <c r="AD14" s="283">
        <f t="shared" si="47"/>
        <v>63.1</v>
      </c>
      <c r="AE14" s="282">
        <f t="shared" si="47"/>
        <v>64.6</v>
      </c>
      <c r="AF14" s="283">
        <f t="shared" ref="AF14:AP14" si="48">ROUND(AVERAGE($W14*(1+0.0333*K$2),$W14*K$2^0.1),1)</f>
        <v>66.1</v>
      </c>
      <c r="AG14" s="282">
        <f t="shared" si="48"/>
        <v>67.3</v>
      </c>
      <c r="AH14" s="283">
        <f t="shared" si="48"/>
        <v>68.4</v>
      </c>
      <c r="AI14" s="282">
        <f t="shared" si="48"/>
        <v>69.5</v>
      </c>
      <c r="AJ14" s="282">
        <f t="shared" si="48"/>
        <v>70.6</v>
      </c>
      <c r="AK14" s="283">
        <f t="shared" si="48"/>
        <v>71.7</v>
      </c>
      <c r="AL14" s="282">
        <f t="shared" si="48"/>
        <v>72.7</v>
      </c>
      <c r="AM14" s="282">
        <f t="shared" si="48"/>
        <v>73.8</v>
      </c>
      <c r="AN14" s="283">
        <f t="shared" si="48"/>
        <v>74.8</v>
      </c>
      <c r="AO14" s="282">
        <f t="shared" si="48"/>
        <v>75.9</v>
      </c>
      <c r="AP14" s="282">
        <f t="shared" si="48"/>
        <v>76.9</v>
      </c>
    </row>
    <row r="15" ht="14.25" customHeight="1">
      <c r="A15" s="2"/>
      <c r="B15" s="283">
        <v>13.0</v>
      </c>
      <c r="C15" s="282">
        <f t="shared" ref="C15:J15" si="49">ROUND(AVERAGE($B15/(1.0278-0.0278*C$2),$B15*C$2^0.1),1)</f>
        <v>13.7</v>
      </c>
      <c r="D15" s="282">
        <f t="shared" si="49"/>
        <v>14.1</v>
      </c>
      <c r="E15" s="282">
        <f t="shared" si="49"/>
        <v>14.6</v>
      </c>
      <c r="F15" s="283">
        <f t="shared" si="49"/>
        <v>14.9</v>
      </c>
      <c r="G15" s="282">
        <f t="shared" si="49"/>
        <v>15.3</v>
      </c>
      <c r="H15" s="282">
        <f t="shared" si="49"/>
        <v>15.7</v>
      </c>
      <c r="I15" s="283">
        <f t="shared" si="49"/>
        <v>16.1</v>
      </c>
      <c r="J15" s="282">
        <f t="shared" si="49"/>
        <v>16.5</v>
      </c>
      <c r="K15" s="283">
        <f t="shared" ref="K15:U15" si="50">ROUND(AVERAGE($B15*(1+0.0333*K$2),$B15*K$2^0.1),1)</f>
        <v>16.8</v>
      </c>
      <c r="L15" s="282">
        <f t="shared" si="50"/>
        <v>17.1</v>
      </c>
      <c r="M15" s="283">
        <f t="shared" si="50"/>
        <v>17.4</v>
      </c>
      <c r="N15" s="282">
        <f t="shared" si="50"/>
        <v>17.7</v>
      </c>
      <c r="O15" s="282">
        <f t="shared" si="50"/>
        <v>18</v>
      </c>
      <c r="P15" s="283">
        <f t="shared" si="50"/>
        <v>18.3</v>
      </c>
      <c r="Q15" s="282">
        <f t="shared" si="50"/>
        <v>18.5</v>
      </c>
      <c r="R15" s="282">
        <f t="shared" si="50"/>
        <v>18.8</v>
      </c>
      <c r="S15" s="283">
        <f t="shared" si="50"/>
        <v>19.1</v>
      </c>
      <c r="T15" s="282">
        <f t="shared" si="50"/>
        <v>19.3</v>
      </c>
      <c r="U15" s="282">
        <f t="shared" si="50"/>
        <v>19.6</v>
      </c>
      <c r="V15" s="2"/>
      <c r="W15" s="283">
        <v>52.0</v>
      </c>
      <c r="X15" s="282">
        <f t="shared" ref="X15:AE15" si="51">ROUND(AVERAGE($W15/(1.0278-0.0278*X$2),$W15*X$2^0.1),1)</f>
        <v>54.6</v>
      </c>
      <c r="Y15" s="282">
        <f t="shared" si="51"/>
        <v>56.5</v>
      </c>
      <c r="Z15" s="282">
        <f t="shared" si="51"/>
        <v>58.2</v>
      </c>
      <c r="AA15" s="283">
        <f t="shared" si="51"/>
        <v>59.8</v>
      </c>
      <c r="AB15" s="282">
        <f t="shared" si="51"/>
        <v>61.3</v>
      </c>
      <c r="AC15" s="282">
        <f t="shared" si="51"/>
        <v>62.8</v>
      </c>
      <c r="AD15" s="283">
        <f t="shared" si="51"/>
        <v>64.3</v>
      </c>
      <c r="AE15" s="282">
        <f t="shared" si="51"/>
        <v>65.8</v>
      </c>
      <c r="AF15" s="283">
        <f t="shared" ref="AF15:AP15" si="52">ROUND(AVERAGE($W15*(1+0.0333*K$2),$W15*K$2^0.1),1)</f>
        <v>67.4</v>
      </c>
      <c r="AG15" s="282">
        <f t="shared" si="52"/>
        <v>68.6</v>
      </c>
      <c r="AH15" s="283">
        <f t="shared" si="52"/>
        <v>69.7</v>
      </c>
      <c r="AI15" s="282">
        <f t="shared" si="52"/>
        <v>70.9</v>
      </c>
      <c r="AJ15" s="282">
        <f t="shared" si="52"/>
        <v>72</v>
      </c>
      <c r="AK15" s="283">
        <f t="shared" si="52"/>
        <v>73.1</v>
      </c>
      <c r="AL15" s="282">
        <f t="shared" si="52"/>
        <v>74.2</v>
      </c>
      <c r="AM15" s="282">
        <f t="shared" si="52"/>
        <v>75.2</v>
      </c>
      <c r="AN15" s="283">
        <f t="shared" si="52"/>
        <v>76.3</v>
      </c>
      <c r="AO15" s="282">
        <f t="shared" si="52"/>
        <v>77.4</v>
      </c>
      <c r="AP15" s="282">
        <f t="shared" si="52"/>
        <v>78.4</v>
      </c>
    </row>
    <row r="16" ht="14.25" customHeight="1">
      <c r="A16" s="2"/>
      <c r="B16" s="283">
        <v>14.0</v>
      </c>
      <c r="C16" s="282">
        <f t="shared" ref="C16:J16" si="53">ROUND(AVERAGE($B16/(1.0278-0.0278*C$2),$B16*C$2^0.1),1)</f>
        <v>14.7</v>
      </c>
      <c r="D16" s="282">
        <f t="shared" si="53"/>
        <v>15.2</v>
      </c>
      <c r="E16" s="282">
        <f t="shared" si="53"/>
        <v>15.7</v>
      </c>
      <c r="F16" s="283">
        <f t="shared" si="53"/>
        <v>16.1</v>
      </c>
      <c r="G16" s="282">
        <f t="shared" si="53"/>
        <v>16.5</v>
      </c>
      <c r="H16" s="282">
        <f t="shared" si="53"/>
        <v>16.9</v>
      </c>
      <c r="I16" s="283">
        <f t="shared" si="53"/>
        <v>17.3</v>
      </c>
      <c r="J16" s="282">
        <f t="shared" si="53"/>
        <v>17.7</v>
      </c>
      <c r="K16" s="283">
        <f t="shared" ref="K16:U16" si="54">ROUND(AVERAGE($B16*(1+0.0333*K$2),$B16*K$2^0.1),1)</f>
        <v>18.1</v>
      </c>
      <c r="L16" s="282">
        <f t="shared" si="54"/>
        <v>18.5</v>
      </c>
      <c r="M16" s="283">
        <f t="shared" si="54"/>
        <v>18.8</v>
      </c>
      <c r="N16" s="282">
        <f t="shared" si="54"/>
        <v>19.1</v>
      </c>
      <c r="O16" s="282">
        <f t="shared" si="54"/>
        <v>19.4</v>
      </c>
      <c r="P16" s="283">
        <f t="shared" si="54"/>
        <v>19.7</v>
      </c>
      <c r="Q16" s="282">
        <f t="shared" si="54"/>
        <v>20</v>
      </c>
      <c r="R16" s="282">
        <f t="shared" si="54"/>
        <v>20.3</v>
      </c>
      <c r="S16" s="283">
        <f t="shared" si="54"/>
        <v>20.5</v>
      </c>
      <c r="T16" s="282">
        <f t="shared" si="54"/>
        <v>20.8</v>
      </c>
      <c r="U16" s="282">
        <f t="shared" si="54"/>
        <v>21.1</v>
      </c>
      <c r="V16" s="2"/>
      <c r="W16" s="283">
        <v>53.0</v>
      </c>
      <c r="X16" s="282">
        <f t="shared" ref="X16:AE16" si="55">ROUND(AVERAGE($W16/(1.0278-0.0278*X$2),$W16*X$2^0.1),1)</f>
        <v>55.7</v>
      </c>
      <c r="Y16" s="282">
        <f t="shared" si="55"/>
        <v>57.6</v>
      </c>
      <c r="Z16" s="282">
        <f t="shared" si="55"/>
        <v>59.4</v>
      </c>
      <c r="AA16" s="283">
        <f t="shared" si="55"/>
        <v>60.9</v>
      </c>
      <c r="AB16" s="282">
        <f t="shared" si="55"/>
        <v>62.5</v>
      </c>
      <c r="AC16" s="282">
        <f t="shared" si="55"/>
        <v>64</v>
      </c>
      <c r="AD16" s="283">
        <f t="shared" si="55"/>
        <v>65.5</v>
      </c>
      <c r="AE16" s="282">
        <f t="shared" si="55"/>
        <v>67.1</v>
      </c>
      <c r="AF16" s="283">
        <f t="shared" ref="AF16:AP16" si="56">ROUND(AVERAGE($W16*(1+0.0333*K$2),$W16*K$2^0.1),1)</f>
        <v>68.7</v>
      </c>
      <c r="AG16" s="282">
        <f t="shared" si="56"/>
        <v>69.9</v>
      </c>
      <c r="AH16" s="283">
        <f t="shared" si="56"/>
        <v>71.1</v>
      </c>
      <c r="AI16" s="282">
        <f t="shared" si="56"/>
        <v>72.2</v>
      </c>
      <c r="AJ16" s="282">
        <f t="shared" si="56"/>
        <v>73.4</v>
      </c>
      <c r="AK16" s="283">
        <f t="shared" si="56"/>
        <v>74.5</v>
      </c>
      <c r="AL16" s="282">
        <f t="shared" si="56"/>
        <v>75.6</v>
      </c>
      <c r="AM16" s="282">
        <f t="shared" si="56"/>
        <v>76.7</v>
      </c>
      <c r="AN16" s="283">
        <f t="shared" si="56"/>
        <v>77.8</v>
      </c>
      <c r="AO16" s="282">
        <f t="shared" si="56"/>
        <v>78.8</v>
      </c>
      <c r="AP16" s="282">
        <f t="shared" si="56"/>
        <v>79.9</v>
      </c>
    </row>
    <row r="17" ht="14.25" customHeight="1">
      <c r="A17" s="2"/>
      <c r="B17" s="283">
        <v>15.0</v>
      </c>
      <c r="C17" s="282">
        <f t="shared" ref="C17:J17" si="57">ROUND(AVERAGE($B17/(1.0278-0.0278*C$2),$B17*C$2^0.1),1)</f>
        <v>15.8</v>
      </c>
      <c r="D17" s="282">
        <f t="shared" si="57"/>
        <v>16.3</v>
      </c>
      <c r="E17" s="282">
        <f t="shared" si="57"/>
        <v>16.8</v>
      </c>
      <c r="F17" s="283">
        <f t="shared" si="57"/>
        <v>17.2</v>
      </c>
      <c r="G17" s="282">
        <f t="shared" si="57"/>
        <v>17.7</v>
      </c>
      <c r="H17" s="282">
        <f t="shared" si="57"/>
        <v>18.1</v>
      </c>
      <c r="I17" s="283">
        <f t="shared" si="57"/>
        <v>18.5</v>
      </c>
      <c r="J17" s="282">
        <f t="shared" si="57"/>
        <v>19</v>
      </c>
      <c r="K17" s="283">
        <f t="shared" ref="K17:U17" si="58">ROUND(AVERAGE($B17*(1+0.0333*K$2),$B17*K$2^0.1),1)</f>
        <v>19.4</v>
      </c>
      <c r="L17" s="282">
        <f t="shared" si="58"/>
        <v>19.8</v>
      </c>
      <c r="M17" s="283">
        <f t="shared" si="58"/>
        <v>20.1</v>
      </c>
      <c r="N17" s="282">
        <f t="shared" si="58"/>
        <v>20.4</v>
      </c>
      <c r="O17" s="282">
        <f t="shared" si="58"/>
        <v>20.8</v>
      </c>
      <c r="P17" s="283">
        <f t="shared" si="58"/>
        <v>21.1</v>
      </c>
      <c r="Q17" s="282">
        <f t="shared" si="58"/>
        <v>21.4</v>
      </c>
      <c r="R17" s="282">
        <f t="shared" si="58"/>
        <v>21.7</v>
      </c>
      <c r="S17" s="283">
        <f t="shared" si="58"/>
        <v>22</v>
      </c>
      <c r="T17" s="282">
        <f t="shared" si="58"/>
        <v>22.3</v>
      </c>
      <c r="U17" s="282">
        <f t="shared" si="58"/>
        <v>22.6</v>
      </c>
      <c r="V17" s="2"/>
      <c r="W17" s="283">
        <v>54.0</v>
      </c>
      <c r="X17" s="282">
        <f t="shared" ref="X17:AE17" si="59">ROUND(AVERAGE($W17/(1.0278-0.0278*X$2),$W17*X$2^0.1),1)</f>
        <v>56.7</v>
      </c>
      <c r="Y17" s="282">
        <f t="shared" si="59"/>
        <v>58.7</v>
      </c>
      <c r="Z17" s="282">
        <f t="shared" si="59"/>
        <v>60.5</v>
      </c>
      <c r="AA17" s="283">
        <f t="shared" si="59"/>
        <v>62.1</v>
      </c>
      <c r="AB17" s="282">
        <f t="shared" si="59"/>
        <v>63.7</v>
      </c>
      <c r="AC17" s="282">
        <f t="shared" si="59"/>
        <v>65.2</v>
      </c>
      <c r="AD17" s="283">
        <f t="shared" si="59"/>
        <v>66.8</v>
      </c>
      <c r="AE17" s="282">
        <f t="shared" si="59"/>
        <v>68.4</v>
      </c>
      <c r="AF17" s="283">
        <f t="shared" ref="AF17:AP17" si="60">ROUND(AVERAGE($W17*(1+0.0333*K$2),$W17*K$2^0.1),1)</f>
        <v>70</v>
      </c>
      <c r="AG17" s="282">
        <f t="shared" si="60"/>
        <v>71.2</v>
      </c>
      <c r="AH17" s="283">
        <f t="shared" si="60"/>
        <v>72.4</v>
      </c>
      <c r="AI17" s="282">
        <f t="shared" si="60"/>
        <v>73.6</v>
      </c>
      <c r="AJ17" s="282">
        <f t="shared" si="60"/>
        <v>74.7</v>
      </c>
      <c r="AK17" s="283">
        <f t="shared" si="60"/>
        <v>75.9</v>
      </c>
      <c r="AL17" s="282">
        <f t="shared" si="60"/>
        <v>77</v>
      </c>
      <c r="AM17" s="282">
        <f t="shared" si="60"/>
        <v>78.1</v>
      </c>
      <c r="AN17" s="283">
        <f t="shared" si="60"/>
        <v>79.2</v>
      </c>
      <c r="AO17" s="282">
        <f t="shared" si="60"/>
        <v>80.3</v>
      </c>
      <c r="AP17" s="282">
        <f t="shared" si="60"/>
        <v>81.4</v>
      </c>
    </row>
    <row r="18" ht="14.25" customHeight="1">
      <c r="A18" s="2"/>
      <c r="B18" s="283">
        <v>16.0</v>
      </c>
      <c r="C18" s="282">
        <f t="shared" ref="C18:J18" si="61">ROUND(AVERAGE($B18/(1.0278-0.0278*C$2),$B18*C$2^0.1),1)</f>
        <v>16.8</v>
      </c>
      <c r="D18" s="282">
        <f t="shared" si="61"/>
        <v>17.4</v>
      </c>
      <c r="E18" s="282">
        <f t="shared" si="61"/>
        <v>17.9</v>
      </c>
      <c r="F18" s="283">
        <f t="shared" si="61"/>
        <v>18.4</v>
      </c>
      <c r="G18" s="282">
        <f t="shared" si="61"/>
        <v>18.9</v>
      </c>
      <c r="H18" s="282">
        <f t="shared" si="61"/>
        <v>19.3</v>
      </c>
      <c r="I18" s="283">
        <f t="shared" si="61"/>
        <v>19.8</v>
      </c>
      <c r="J18" s="282">
        <f t="shared" si="61"/>
        <v>20.3</v>
      </c>
      <c r="K18" s="283">
        <f t="shared" ref="K18:U18" si="62">ROUND(AVERAGE($B18*(1+0.0333*K$2),$B18*K$2^0.1),1)</f>
        <v>20.7</v>
      </c>
      <c r="L18" s="282">
        <f t="shared" si="62"/>
        <v>21.1</v>
      </c>
      <c r="M18" s="283">
        <f t="shared" si="62"/>
        <v>21.5</v>
      </c>
      <c r="N18" s="282">
        <f t="shared" si="62"/>
        <v>21.8</v>
      </c>
      <c r="O18" s="282">
        <f t="shared" si="62"/>
        <v>22.1</v>
      </c>
      <c r="P18" s="283">
        <f t="shared" si="62"/>
        <v>22.5</v>
      </c>
      <c r="Q18" s="282">
        <f t="shared" si="62"/>
        <v>22.8</v>
      </c>
      <c r="R18" s="282">
        <f t="shared" si="62"/>
        <v>23.1</v>
      </c>
      <c r="S18" s="283">
        <f t="shared" si="62"/>
        <v>23.5</v>
      </c>
      <c r="T18" s="282">
        <f t="shared" si="62"/>
        <v>23.8</v>
      </c>
      <c r="U18" s="282">
        <f t="shared" si="62"/>
        <v>24.1</v>
      </c>
      <c r="V18" s="2"/>
      <c r="W18" s="283">
        <v>55.0</v>
      </c>
      <c r="X18" s="282">
        <f t="shared" ref="X18:AE18" si="63">ROUND(AVERAGE($W18/(1.0278-0.0278*X$2),$W18*X$2^0.1),1)</f>
        <v>57.8</v>
      </c>
      <c r="Y18" s="282">
        <f t="shared" si="63"/>
        <v>59.8</v>
      </c>
      <c r="Z18" s="282">
        <f t="shared" si="63"/>
        <v>61.6</v>
      </c>
      <c r="AA18" s="283">
        <f t="shared" si="63"/>
        <v>63.2</v>
      </c>
      <c r="AB18" s="282">
        <f t="shared" si="63"/>
        <v>64.8</v>
      </c>
      <c r="AC18" s="282">
        <f t="shared" si="63"/>
        <v>66.4</v>
      </c>
      <c r="AD18" s="283">
        <f t="shared" si="63"/>
        <v>68</v>
      </c>
      <c r="AE18" s="282">
        <f t="shared" si="63"/>
        <v>69.6</v>
      </c>
      <c r="AF18" s="283">
        <f t="shared" ref="AF18:AP18" si="64">ROUND(AVERAGE($W18*(1+0.0333*K$2),$W18*K$2^0.1),1)</f>
        <v>71.3</v>
      </c>
      <c r="AG18" s="282">
        <f t="shared" si="64"/>
        <v>72.5</v>
      </c>
      <c r="AH18" s="283">
        <f t="shared" si="64"/>
        <v>73.7</v>
      </c>
      <c r="AI18" s="282">
        <f t="shared" si="64"/>
        <v>74.9</v>
      </c>
      <c r="AJ18" s="282">
        <f t="shared" si="64"/>
        <v>76.1</v>
      </c>
      <c r="AK18" s="283">
        <f t="shared" si="64"/>
        <v>77.3</v>
      </c>
      <c r="AL18" s="282">
        <f t="shared" si="64"/>
        <v>78.4</v>
      </c>
      <c r="AM18" s="282">
        <f t="shared" si="64"/>
        <v>79.6</v>
      </c>
      <c r="AN18" s="283">
        <f t="shared" si="64"/>
        <v>80.7</v>
      </c>
      <c r="AO18" s="282">
        <f t="shared" si="64"/>
        <v>81.8</v>
      </c>
      <c r="AP18" s="282">
        <f t="shared" si="64"/>
        <v>82.9</v>
      </c>
    </row>
    <row r="19" ht="14.25" customHeight="1">
      <c r="A19" s="2"/>
      <c r="B19" s="283">
        <v>17.0</v>
      </c>
      <c r="C19" s="282">
        <f t="shared" ref="C19:J19" si="65">ROUND(AVERAGE($B19/(1.0278-0.0278*C$2),$B19*C$2^0.1),1)</f>
        <v>17.9</v>
      </c>
      <c r="D19" s="282">
        <f t="shared" si="65"/>
        <v>18.5</v>
      </c>
      <c r="E19" s="282">
        <f t="shared" si="65"/>
        <v>19</v>
      </c>
      <c r="F19" s="283">
        <f t="shared" si="65"/>
        <v>19.5</v>
      </c>
      <c r="G19" s="282">
        <f t="shared" si="65"/>
        <v>20</v>
      </c>
      <c r="H19" s="282">
        <f t="shared" si="65"/>
        <v>20.5</v>
      </c>
      <c r="I19" s="283">
        <f t="shared" si="65"/>
        <v>21</v>
      </c>
      <c r="J19" s="282">
        <f t="shared" si="65"/>
        <v>21.5</v>
      </c>
      <c r="K19" s="283">
        <f t="shared" ref="K19:U19" si="66">ROUND(AVERAGE($B19*(1+0.0333*K$2),$B19*K$2^0.1),1)</f>
        <v>22</v>
      </c>
      <c r="L19" s="282">
        <f t="shared" si="66"/>
        <v>22.4</v>
      </c>
      <c r="M19" s="283">
        <f t="shared" si="66"/>
        <v>22.8</v>
      </c>
      <c r="N19" s="282">
        <f t="shared" si="66"/>
        <v>23.2</v>
      </c>
      <c r="O19" s="282">
        <f t="shared" si="66"/>
        <v>23.5</v>
      </c>
      <c r="P19" s="283">
        <f t="shared" si="66"/>
        <v>23.9</v>
      </c>
      <c r="Q19" s="282">
        <f t="shared" si="66"/>
        <v>24.2</v>
      </c>
      <c r="R19" s="282">
        <f t="shared" si="66"/>
        <v>24.6</v>
      </c>
      <c r="S19" s="283">
        <f t="shared" si="66"/>
        <v>24.9</v>
      </c>
      <c r="T19" s="282">
        <f t="shared" si="66"/>
        <v>25.3</v>
      </c>
      <c r="U19" s="282">
        <f t="shared" si="66"/>
        <v>25.6</v>
      </c>
      <c r="V19" s="2"/>
      <c r="W19" s="283">
        <v>56.0</v>
      </c>
      <c r="X19" s="282">
        <f t="shared" ref="X19:AE19" si="67">ROUND(AVERAGE($W19/(1.0278-0.0278*X$2),$W19*X$2^0.1),1)</f>
        <v>58.8</v>
      </c>
      <c r="Y19" s="282">
        <f t="shared" si="67"/>
        <v>60.9</v>
      </c>
      <c r="Z19" s="282">
        <f t="shared" si="67"/>
        <v>62.7</v>
      </c>
      <c r="AA19" s="283">
        <f t="shared" si="67"/>
        <v>64.4</v>
      </c>
      <c r="AB19" s="282">
        <f t="shared" si="67"/>
        <v>66</v>
      </c>
      <c r="AC19" s="282">
        <f t="shared" si="67"/>
        <v>67.6</v>
      </c>
      <c r="AD19" s="283">
        <f t="shared" si="67"/>
        <v>69.2</v>
      </c>
      <c r="AE19" s="282">
        <f t="shared" si="67"/>
        <v>70.9</v>
      </c>
      <c r="AF19" s="283">
        <f t="shared" ref="AF19:AP19" si="68">ROUND(AVERAGE($W19*(1+0.0333*K$2),$W19*K$2^0.1),1)</f>
        <v>72.6</v>
      </c>
      <c r="AG19" s="282">
        <f t="shared" si="68"/>
        <v>73.8</v>
      </c>
      <c r="AH19" s="283">
        <f t="shared" si="68"/>
        <v>75.1</v>
      </c>
      <c r="AI19" s="282">
        <f t="shared" si="68"/>
        <v>76.3</v>
      </c>
      <c r="AJ19" s="282">
        <f t="shared" si="68"/>
        <v>77.5</v>
      </c>
      <c r="AK19" s="283">
        <f t="shared" si="68"/>
        <v>78.7</v>
      </c>
      <c r="AL19" s="282">
        <f t="shared" si="68"/>
        <v>79.9</v>
      </c>
      <c r="AM19" s="282">
        <f t="shared" si="68"/>
        <v>81</v>
      </c>
      <c r="AN19" s="283">
        <f t="shared" si="68"/>
        <v>82.2</v>
      </c>
      <c r="AO19" s="282">
        <f t="shared" si="68"/>
        <v>83.3</v>
      </c>
      <c r="AP19" s="282">
        <f t="shared" si="68"/>
        <v>84.4</v>
      </c>
    </row>
    <row r="20" ht="14.25" customHeight="1">
      <c r="A20" s="2"/>
      <c r="B20" s="283">
        <v>18.0</v>
      </c>
      <c r="C20" s="282">
        <f t="shared" ref="C20:J20" si="69">ROUND(AVERAGE($B20/(1.0278-0.0278*C$2),$B20*C$2^0.1),1)</f>
        <v>18.9</v>
      </c>
      <c r="D20" s="282">
        <f t="shared" si="69"/>
        <v>19.6</v>
      </c>
      <c r="E20" s="282">
        <f t="shared" si="69"/>
        <v>20.2</v>
      </c>
      <c r="F20" s="283">
        <f t="shared" si="69"/>
        <v>20.7</v>
      </c>
      <c r="G20" s="282">
        <f t="shared" si="69"/>
        <v>21.2</v>
      </c>
      <c r="H20" s="282">
        <f t="shared" si="69"/>
        <v>21.7</v>
      </c>
      <c r="I20" s="283">
        <f t="shared" si="69"/>
        <v>22.3</v>
      </c>
      <c r="J20" s="282">
        <f t="shared" si="69"/>
        <v>22.8</v>
      </c>
      <c r="K20" s="283">
        <f t="shared" ref="K20:U20" si="70">ROUND(AVERAGE($B20*(1+0.0333*K$2),$B20*K$2^0.1),1)</f>
        <v>23.3</v>
      </c>
      <c r="L20" s="282">
        <f t="shared" si="70"/>
        <v>23.7</v>
      </c>
      <c r="M20" s="283">
        <f t="shared" si="70"/>
        <v>24.1</v>
      </c>
      <c r="N20" s="282">
        <f t="shared" si="70"/>
        <v>24.5</v>
      </c>
      <c r="O20" s="282">
        <f t="shared" si="70"/>
        <v>24.9</v>
      </c>
      <c r="P20" s="283">
        <f t="shared" si="70"/>
        <v>25.3</v>
      </c>
      <c r="Q20" s="282">
        <f t="shared" si="70"/>
        <v>25.7</v>
      </c>
      <c r="R20" s="282">
        <f t="shared" si="70"/>
        <v>26</v>
      </c>
      <c r="S20" s="283">
        <f t="shared" si="70"/>
        <v>26.4</v>
      </c>
      <c r="T20" s="282">
        <f t="shared" si="70"/>
        <v>26.8</v>
      </c>
      <c r="U20" s="282">
        <f t="shared" si="70"/>
        <v>27.1</v>
      </c>
      <c r="V20" s="2"/>
      <c r="W20" s="283">
        <v>57.0</v>
      </c>
      <c r="X20" s="282">
        <f t="shared" ref="X20:AE20" si="71">ROUND(AVERAGE($W20/(1.0278-0.0278*X$2),$W20*X$2^0.1),1)</f>
        <v>59.9</v>
      </c>
      <c r="Y20" s="282">
        <f t="shared" si="71"/>
        <v>62</v>
      </c>
      <c r="Z20" s="282">
        <f t="shared" si="71"/>
        <v>63.8</v>
      </c>
      <c r="AA20" s="283">
        <f t="shared" si="71"/>
        <v>65.5</v>
      </c>
      <c r="AB20" s="282">
        <f t="shared" si="71"/>
        <v>67.2</v>
      </c>
      <c r="AC20" s="282">
        <f t="shared" si="71"/>
        <v>68.8</v>
      </c>
      <c r="AD20" s="283">
        <f t="shared" si="71"/>
        <v>70.5</v>
      </c>
      <c r="AE20" s="282">
        <f t="shared" si="71"/>
        <v>72.2</v>
      </c>
      <c r="AF20" s="283">
        <f t="shared" ref="AF20:AP20" si="72">ROUND(AVERAGE($W20*(1+0.0333*K$2),$W20*K$2^0.1),1)</f>
        <v>73.9</v>
      </c>
      <c r="AG20" s="282">
        <f t="shared" si="72"/>
        <v>75.2</v>
      </c>
      <c r="AH20" s="283">
        <f t="shared" si="72"/>
        <v>76.4</v>
      </c>
      <c r="AI20" s="282">
        <f t="shared" si="72"/>
        <v>77.7</v>
      </c>
      <c r="AJ20" s="282">
        <f t="shared" si="72"/>
        <v>78.9</v>
      </c>
      <c r="AK20" s="283">
        <f t="shared" si="72"/>
        <v>80.1</v>
      </c>
      <c r="AL20" s="282">
        <f t="shared" si="72"/>
        <v>81.3</v>
      </c>
      <c r="AM20" s="282">
        <f t="shared" si="72"/>
        <v>82.5</v>
      </c>
      <c r="AN20" s="283">
        <f t="shared" si="72"/>
        <v>83.6</v>
      </c>
      <c r="AO20" s="282">
        <f t="shared" si="72"/>
        <v>84.8</v>
      </c>
      <c r="AP20" s="282">
        <f t="shared" si="72"/>
        <v>85.9</v>
      </c>
    </row>
    <row r="21" ht="14.25" customHeight="1">
      <c r="A21" s="2"/>
      <c r="B21" s="283">
        <v>19.0</v>
      </c>
      <c r="C21" s="282">
        <f t="shared" ref="C21:J21" si="73">ROUND(AVERAGE($B21/(1.0278-0.0278*C$2),$B21*C$2^0.1),1)</f>
        <v>20</v>
      </c>
      <c r="D21" s="282">
        <f t="shared" si="73"/>
        <v>20.7</v>
      </c>
      <c r="E21" s="282">
        <f t="shared" si="73"/>
        <v>21.3</v>
      </c>
      <c r="F21" s="283">
        <f t="shared" si="73"/>
        <v>21.8</v>
      </c>
      <c r="G21" s="282">
        <f t="shared" si="73"/>
        <v>22.4</v>
      </c>
      <c r="H21" s="282">
        <f t="shared" si="73"/>
        <v>22.9</v>
      </c>
      <c r="I21" s="283">
        <f t="shared" si="73"/>
        <v>23.5</v>
      </c>
      <c r="J21" s="282">
        <f t="shared" si="73"/>
        <v>24.1</v>
      </c>
      <c r="K21" s="283">
        <f t="shared" ref="K21:U21" si="74">ROUND(AVERAGE($B21*(1+0.0333*K$2),$B21*K$2^0.1),1)</f>
        <v>24.6</v>
      </c>
      <c r="L21" s="282">
        <f t="shared" si="74"/>
        <v>25.1</v>
      </c>
      <c r="M21" s="283">
        <f t="shared" si="74"/>
        <v>25.5</v>
      </c>
      <c r="N21" s="282">
        <f t="shared" si="74"/>
        <v>25.9</v>
      </c>
      <c r="O21" s="282">
        <f t="shared" si="74"/>
        <v>26.3</v>
      </c>
      <c r="P21" s="283">
        <f t="shared" si="74"/>
        <v>26.7</v>
      </c>
      <c r="Q21" s="282">
        <f t="shared" si="74"/>
        <v>27.1</v>
      </c>
      <c r="R21" s="282">
        <f t="shared" si="74"/>
        <v>27.5</v>
      </c>
      <c r="S21" s="283">
        <f t="shared" si="74"/>
        <v>27.9</v>
      </c>
      <c r="T21" s="282">
        <f t="shared" si="74"/>
        <v>28.3</v>
      </c>
      <c r="U21" s="282">
        <f t="shared" si="74"/>
        <v>28.6</v>
      </c>
      <c r="V21" s="2"/>
      <c r="W21" s="283">
        <v>58.0</v>
      </c>
      <c r="X21" s="282">
        <f t="shared" ref="X21:AE21" si="75">ROUND(AVERAGE($W21/(1.0278-0.0278*X$2),$W21*X$2^0.1),1)</f>
        <v>60.9</v>
      </c>
      <c r="Y21" s="282">
        <f t="shared" si="75"/>
        <v>63.1</v>
      </c>
      <c r="Z21" s="282">
        <f t="shared" si="75"/>
        <v>65</v>
      </c>
      <c r="AA21" s="283">
        <f t="shared" si="75"/>
        <v>66.7</v>
      </c>
      <c r="AB21" s="282">
        <f t="shared" si="75"/>
        <v>68.4</v>
      </c>
      <c r="AC21" s="282">
        <f t="shared" si="75"/>
        <v>70</v>
      </c>
      <c r="AD21" s="283">
        <f t="shared" si="75"/>
        <v>71.7</v>
      </c>
      <c r="AE21" s="282">
        <f t="shared" si="75"/>
        <v>73.4</v>
      </c>
      <c r="AF21" s="283">
        <f t="shared" ref="AF21:AP21" si="76">ROUND(AVERAGE($W21*(1+0.0333*K$2),$W21*K$2^0.1),1)</f>
        <v>75.2</v>
      </c>
      <c r="AG21" s="282">
        <f t="shared" si="76"/>
        <v>76.5</v>
      </c>
      <c r="AH21" s="283">
        <f t="shared" si="76"/>
        <v>77.8</v>
      </c>
      <c r="AI21" s="282">
        <f t="shared" si="76"/>
        <v>79</v>
      </c>
      <c r="AJ21" s="282">
        <f t="shared" si="76"/>
        <v>80.3</v>
      </c>
      <c r="AK21" s="283">
        <f t="shared" si="76"/>
        <v>81.5</v>
      </c>
      <c r="AL21" s="282">
        <f t="shared" si="76"/>
        <v>82.7</v>
      </c>
      <c r="AM21" s="282">
        <f t="shared" si="76"/>
        <v>83.9</v>
      </c>
      <c r="AN21" s="283">
        <f t="shared" si="76"/>
        <v>85.1</v>
      </c>
      <c r="AO21" s="282">
        <f t="shared" si="76"/>
        <v>86.3</v>
      </c>
      <c r="AP21" s="282">
        <f t="shared" si="76"/>
        <v>87.4</v>
      </c>
    </row>
    <row r="22" ht="14.25" customHeight="1">
      <c r="A22" s="2"/>
      <c r="B22" s="283">
        <v>20.0</v>
      </c>
      <c r="C22" s="282">
        <f t="shared" ref="C22:J22" si="77">ROUND(AVERAGE($B22/(1.0278-0.0278*C$2),$B22*C$2^0.1),1)</f>
        <v>21</v>
      </c>
      <c r="D22" s="282">
        <f t="shared" si="77"/>
        <v>21.7</v>
      </c>
      <c r="E22" s="282">
        <f t="shared" si="77"/>
        <v>22.4</v>
      </c>
      <c r="F22" s="283">
        <f t="shared" si="77"/>
        <v>23</v>
      </c>
      <c r="G22" s="282">
        <f t="shared" si="77"/>
        <v>23.6</v>
      </c>
      <c r="H22" s="282">
        <f t="shared" si="77"/>
        <v>24.2</v>
      </c>
      <c r="I22" s="283">
        <f t="shared" si="77"/>
        <v>24.7</v>
      </c>
      <c r="J22" s="282">
        <f t="shared" si="77"/>
        <v>25.3</v>
      </c>
      <c r="K22" s="283">
        <f t="shared" ref="K22:U22" si="78">ROUND(AVERAGE($B22*(1+0.0333*K$2),$B22*K$2^0.1),1)</f>
        <v>25.9</v>
      </c>
      <c r="L22" s="282">
        <f t="shared" si="78"/>
        <v>26.4</v>
      </c>
      <c r="M22" s="283">
        <f t="shared" si="78"/>
        <v>26.8</v>
      </c>
      <c r="N22" s="282">
        <f t="shared" si="78"/>
        <v>27.3</v>
      </c>
      <c r="O22" s="282">
        <f t="shared" si="78"/>
        <v>27.7</v>
      </c>
      <c r="P22" s="283">
        <f t="shared" si="78"/>
        <v>28.1</v>
      </c>
      <c r="Q22" s="282">
        <f t="shared" si="78"/>
        <v>28.5</v>
      </c>
      <c r="R22" s="282">
        <f t="shared" si="78"/>
        <v>28.9</v>
      </c>
      <c r="S22" s="283">
        <f t="shared" si="78"/>
        <v>29.3</v>
      </c>
      <c r="T22" s="282">
        <f t="shared" si="78"/>
        <v>29.8</v>
      </c>
      <c r="U22" s="282">
        <f t="shared" si="78"/>
        <v>30.2</v>
      </c>
      <c r="V22" s="2"/>
      <c r="W22" s="283">
        <v>59.0</v>
      </c>
      <c r="X22" s="282">
        <f t="shared" ref="X22:AE22" si="79">ROUND(AVERAGE($W22/(1.0278-0.0278*X$2),$W22*X$2^0.1),1)</f>
        <v>62</v>
      </c>
      <c r="Y22" s="282">
        <f t="shared" si="79"/>
        <v>64.2</v>
      </c>
      <c r="Z22" s="282">
        <f t="shared" si="79"/>
        <v>66.1</v>
      </c>
      <c r="AA22" s="283">
        <f t="shared" si="79"/>
        <v>67.8</v>
      </c>
      <c r="AB22" s="282">
        <f t="shared" si="79"/>
        <v>69.6</v>
      </c>
      <c r="AC22" s="282">
        <f t="shared" si="79"/>
        <v>71.2</v>
      </c>
      <c r="AD22" s="283">
        <f t="shared" si="79"/>
        <v>72.9</v>
      </c>
      <c r="AE22" s="282">
        <f t="shared" si="79"/>
        <v>74.7</v>
      </c>
      <c r="AF22" s="283">
        <f t="shared" ref="AF22:AP22" si="80">ROUND(AVERAGE($W22*(1+0.0333*K$2),$W22*K$2^0.1),1)</f>
        <v>76.5</v>
      </c>
      <c r="AG22" s="282">
        <f t="shared" si="80"/>
        <v>77.8</v>
      </c>
      <c r="AH22" s="283">
        <f t="shared" si="80"/>
        <v>79.1</v>
      </c>
      <c r="AI22" s="282">
        <f t="shared" si="80"/>
        <v>80.4</v>
      </c>
      <c r="AJ22" s="282">
        <f t="shared" si="80"/>
        <v>81.7</v>
      </c>
      <c r="AK22" s="283">
        <f t="shared" si="80"/>
        <v>82.9</v>
      </c>
      <c r="AL22" s="282">
        <f t="shared" si="80"/>
        <v>84.1</v>
      </c>
      <c r="AM22" s="282">
        <f t="shared" si="80"/>
        <v>85.4</v>
      </c>
      <c r="AN22" s="283">
        <f t="shared" si="80"/>
        <v>86.6</v>
      </c>
      <c r="AO22" s="282">
        <f t="shared" si="80"/>
        <v>87.8</v>
      </c>
      <c r="AP22" s="282">
        <f t="shared" si="80"/>
        <v>89</v>
      </c>
    </row>
    <row r="23" ht="14.25" customHeight="1">
      <c r="A23" s="2"/>
      <c r="B23" s="283">
        <v>21.0</v>
      </c>
      <c r="C23" s="282">
        <f t="shared" ref="C23:J23" si="81">ROUND(AVERAGE($B23/(1.0278-0.0278*C$2),$B23*C$2^0.1),1)</f>
        <v>22.1</v>
      </c>
      <c r="D23" s="282">
        <f t="shared" si="81"/>
        <v>22.8</v>
      </c>
      <c r="E23" s="282">
        <f t="shared" si="81"/>
        <v>23.5</v>
      </c>
      <c r="F23" s="283">
        <f t="shared" si="81"/>
        <v>24.1</v>
      </c>
      <c r="G23" s="282">
        <f t="shared" si="81"/>
        <v>24.8</v>
      </c>
      <c r="H23" s="282">
        <f t="shared" si="81"/>
        <v>25.4</v>
      </c>
      <c r="I23" s="283">
        <f t="shared" si="81"/>
        <v>26</v>
      </c>
      <c r="J23" s="282">
        <f t="shared" si="81"/>
        <v>26.6</v>
      </c>
      <c r="K23" s="283">
        <f t="shared" ref="K23:U23" si="82">ROUND(AVERAGE($B23*(1+0.0333*K$2),$B23*K$2^0.1),1)</f>
        <v>27.2</v>
      </c>
      <c r="L23" s="282">
        <f t="shared" si="82"/>
        <v>27.7</v>
      </c>
      <c r="M23" s="283">
        <f t="shared" si="82"/>
        <v>28.2</v>
      </c>
      <c r="N23" s="282">
        <f t="shared" si="82"/>
        <v>28.6</v>
      </c>
      <c r="O23" s="282">
        <f t="shared" si="82"/>
        <v>29.1</v>
      </c>
      <c r="P23" s="283">
        <f t="shared" si="82"/>
        <v>29.5</v>
      </c>
      <c r="Q23" s="282">
        <f t="shared" si="82"/>
        <v>29.9</v>
      </c>
      <c r="R23" s="282">
        <f t="shared" si="82"/>
        <v>30.4</v>
      </c>
      <c r="S23" s="283">
        <f t="shared" si="82"/>
        <v>30.8</v>
      </c>
      <c r="T23" s="282">
        <f t="shared" si="82"/>
        <v>31.2</v>
      </c>
      <c r="U23" s="282">
        <f t="shared" si="82"/>
        <v>31.7</v>
      </c>
      <c r="V23" s="2"/>
      <c r="W23" s="283">
        <v>60.0</v>
      </c>
      <c r="X23" s="282">
        <f t="shared" ref="X23:AE23" si="83">ROUND(AVERAGE($W23/(1.0278-0.0278*X$2),$W23*X$2^0.1),1)</f>
        <v>63</v>
      </c>
      <c r="Y23" s="282">
        <f t="shared" si="83"/>
        <v>65.2</v>
      </c>
      <c r="Z23" s="282">
        <f t="shared" si="83"/>
        <v>67.2</v>
      </c>
      <c r="AA23" s="283">
        <f t="shared" si="83"/>
        <v>69</v>
      </c>
      <c r="AB23" s="282">
        <f t="shared" si="83"/>
        <v>70.7</v>
      </c>
      <c r="AC23" s="282">
        <f t="shared" si="83"/>
        <v>72.5</v>
      </c>
      <c r="AD23" s="283">
        <f t="shared" si="83"/>
        <v>74.2</v>
      </c>
      <c r="AE23" s="282">
        <f t="shared" si="83"/>
        <v>76</v>
      </c>
      <c r="AF23" s="283">
        <f t="shared" ref="AF23:AP23" si="84">ROUND(AVERAGE($W23*(1+0.0333*K$2),$W23*K$2^0.1),1)</f>
        <v>77.8</v>
      </c>
      <c r="AG23" s="282">
        <f t="shared" si="84"/>
        <v>79.1</v>
      </c>
      <c r="AH23" s="283">
        <f t="shared" si="84"/>
        <v>80.5</v>
      </c>
      <c r="AI23" s="282">
        <f t="shared" si="84"/>
        <v>81.8</v>
      </c>
      <c r="AJ23" s="282">
        <f t="shared" si="84"/>
        <v>83</v>
      </c>
      <c r="AK23" s="283">
        <f t="shared" si="84"/>
        <v>84.3</v>
      </c>
      <c r="AL23" s="282">
        <f t="shared" si="84"/>
        <v>85.6</v>
      </c>
      <c r="AM23" s="282">
        <f t="shared" si="84"/>
        <v>86.8</v>
      </c>
      <c r="AN23" s="283">
        <f t="shared" si="84"/>
        <v>88</v>
      </c>
      <c r="AO23" s="282">
        <f t="shared" si="84"/>
        <v>89.3</v>
      </c>
      <c r="AP23" s="282">
        <f t="shared" si="84"/>
        <v>90.5</v>
      </c>
    </row>
    <row r="24" ht="14.25" customHeight="1">
      <c r="A24" s="2"/>
      <c r="B24" s="283">
        <v>22.0</v>
      </c>
      <c r="C24" s="282">
        <f t="shared" ref="C24:J24" si="85">ROUND(AVERAGE($B24/(1.0278-0.0278*C$2),$B24*C$2^0.1),1)</f>
        <v>23.1</v>
      </c>
      <c r="D24" s="282">
        <f t="shared" si="85"/>
        <v>23.9</v>
      </c>
      <c r="E24" s="282">
        <f t="shared" si="85"/>
        <v>24.6</v>
      </c>
      <c r="F24" s="283">
        <f t="shared" si="85"/>
        <v>25.3</v>
      </c>
      <c r="G24" s="282">
        <f t="shared" si="85"/>
        <v>25.9</v>
      </c>
      <c r="H24" s="282">
        <f t="shared" si="85"/>
        <v>26.6</v>
      </c>
      <c r="I24" s="283">
        <f t="shared" si="85"/>
        <v>27.2</v>
      </c>
      <c r="J24" s="282">
        <f t="shared" si="85"/>
        <v>27.8</v>
      </c>
      <c r="K24" s="283">
        <f t="shared" ref="K24:U24" si="86">ROUND(AVERAGE($B24*(1+0.0333*K$2),$B24*K$2^0.1),1)</f>
        <v>28.5</v>
      </c>
      <c r="L24" s="282">
        <f t="shared" si="86"/>
        <v>29</v>
      </c>
      <c r="M24" s="283">
        <f t="shared" si="86"/>
        <v>29.5</v>
      </c>
      <c r="N24" s="282">
        <f t="shared" si="86"/>
        <v>30</v>
      </c>
      <c r="O24" s="282">
        <f t="shared" si="86"/>
        <v>30.5</v>
      </c>
      <c r="P24" s="283">
        <f t="shared" si="86"/>
        <v>30.9</v>
      </c>
      <c r="Q24" s="282">
        <f t="shared" si="86"/>
        <v>31.4</v>
      </c>
      <c r="R24" s="282">
        <f t="shared" si="86"/>
        <v>31.8</v>
      </c>
      <c r="S24" s="283">
        <f t="shared" si="86"/>
        <v>32.3</v>
      </c>
      <c r="T24" s="282">
        <f t="shared" si="86"/>
        <v>32.7</v>
      </c>
      <c r="U24" s="282">
        <f t="shared" si="86"/>
        <v>33.2</v>
      </c>
      <c r="V24" s="2"/>
      <c r="W24" s="283">
        <v>61.0</v>
      </c>
      <c r="X24" s="282">
        <f t="shared" ref="X24:AE24" si="87">ROUND(AVERAGE($W24/(1.0278-0.0278*X$2),$W24*X$2^0.1),1)</f>
        <v>64.1</v>
      </c>
      <c r="Y24" s="282">
        <f t="shared" si="87"/>
        <v>66.3</v>
      </c>
      <c r="Z24" s="282">
        <f t="shared" si="87"/>
        <v>68.3</v>
      </c>
      <c r="AA24" s="283">
        <f t="shared" si="87"/>
        <v>70.1</v>
      </c>
      <c r="AB24" s="282">
        <f t="shared" si="87"/>
        <v>71.9</v>
      </c>
      <c r="AC24" s="282">
        <f t="shared" si="87"/>
        <v>73.7</v>
      </c>
      <c r="AD24" s="283">
        <f t="shared" si="87"/>
        <v>75.4</v>
      </c>
      <c r="AE24" s="282">
        <f t="shared" si="87"/>
        <v>77.2</v>
      </c>
      <c r="AF24" s="283">
        <f t="shared" ref="AF24:AP24" si="88">ROUND(AVERAGE($W24*(1+0.0333*K$2),$W24*K$2^0.1),1)</f>
        <v>79.1</v>
      </c>
      <c r="AG24" s="282">
        <f t="shared" si="88"/>
        <v>80.4</v>
      </c>
      <c r="AH24" s="283">
        <f t="shared" si="88"/>
        <v>81.8</v>
      </c>
      <c r="AI24" s="282">
        <f t="shared" si="88"/>
        <v>83.1</v>
      </c>
      <c r="AJ24" s="282">
        <f t="shared" si="88"/>
        <v>84.4</v>
      </c>
      <c r="AK24" s="283">
        <f t="shared" si="88"/>
        <v>85.7</v>
      </c>
      <c r="AL24" s="282">
        <f t="shared" si="88"/>
        <v>87</v>
      </c>
      <c r="AM24" s="282">
        <f t="shared" si="88"/>
        <v>88.3</v>
      </c>
      <c r="AN24" s="283">
        <f t="shared" si="88"/>
        <v>89.5</v>
      </c>
      <c r="AO24" s="282">
        <f t="shared" si="88"/>
        <v>90.7</v>
      </c>
      <c r="AP24" s="282">
        <f t="shared" si="88"/>
        <v>92</v>
      </c>
    </row>
    <row r="25" ht="14.25" customHeight="1">
      <c r="A25" s="2"/>
      <c r="B25" s="283">
        <v>23.0</v>
      </c>
      <c r="C25" s="282">
        <f t="shared" ref="C25:J25" si="89">ROUND(AVERAGE($B25/(1.0278-0.0278*C$2),$B25*C$2^0.1),1)</f>
        <v>24.2</v>
      </c>
      <c r="D25" s="282">
        <f t="shared" si="89"/>
        <v>25</v>
      </c>
      <c r="E25" s="282">
        <f t="shared" si="89"/>
        <v>25.8</v>
      </c>
      <c r="F25" s="283">
        <f t="shared" si="89"/>
        <v>26.4</v>
      </c>
      <c r="G25" s="282">
        <f t="shared" si="89"/>
        <v>27.1</v>
      </c>
      <c r="H25" s="282">
        <f t="shared" si="89"/>
        <v>27.8</v>
      </c>
      <c r="I25" s="283">
        <f t="shared" si="89"/>
        <v>28.4</v>
      </c>
      <c r="J25" s="282">
        <f t="shared" si="89"/>
        <v>29.1</v>
      </c>
      <c r="K25" s="283">
        <f t="shared" ref="K25:U25" si="90">ROUND(AVERAGE($B25*(1+0.0333*K$2),$B25*K$2^0.1),1)</f>
        <v>29.8</v>
      </c>
      <c r="L25" s="282">
        <f t="shared" si="90"/>
        <v>30.3</v>
      </c>
      <c r="M25" s="283">
        <f t="shared" si="90"/>
        <v>30.8</v>
      </c>
      <c r="N25" s="282">
        <f t="shared" si="90"/>
        <v>31.3</v>
      </c>
      <c r="O25" s="282">
        <f t="shared" si="90"/>
        <v>31.8</v>
      </c>
      <c r="P25" s="283">
        <f t="shared" si="90"/>
        <v>32.3</v>
      </c>
      <c r="Q25" s="282">
        <f t="shared" si="90"/>
        <v>32.8</v>
      </c>
      <c r="R25" s="282">
        <f t="shared" si="90"/>
        <v>33.3</v>
      </c>
      <c r="S25" s="283">
        <f t="shared" si="90"/>
        <v>33.7</v>
      </c>
      <c r="T25" s="282">
        <f t="shared" si="90"/>
        <v>34.2</v>
      </c>
      <c r="U25" s="282">
        <f t="shared" si="90"/>
        <v>34.7</v>
      </c>
      <c r="V25" s="2"/>
      <c r="W25" s="283">
        <v>62.0</v>
      </c>
      <c r="X25" s="282">
        <f t="shared" ref="X25:AE25" si="91">ROUND(AVERAGE($W25/(1.0278-0.0278*X$2),$W25*X$2^0.1),1)</f>
        <v>65.1</v>
      </c>
      <c r="Y25" s="282">
        <f t="shared" si="91"/>
        <v>67.4</v>
      </c>
      <c r="Z25" s="282">
        <f t="shared" si="91"/>
        <v>69.4</v>
      </c>
      <c r="AA25" s="283">
        <f t="shared" si="91"/>
        <v>71.3</v>
      </c>
      <c r="AB25" s="282">
        <f t="shared" si="91"/>
        <v>73.1</v>
      </c>
      <c r="AC25" s="282">
        <f t="shared" si="91"/>
        <v>74.9</v>
      </c>
      <c r="AD25" s="283">
        <f t="shared" si="91"/>
        <v>76.7</v>
      </c>
      <c r="AE25" s="282">
        <f t="shared" si="91"/>
        <v>78.5</v>
      </c>
      <c r="AF25" s="283">
        <f t="shared" ref="AF25:AP25" si="92">ROUND(AVERAGE($W25*(1+0.0333*K$2),$W25*K$2^0.1),1)</f>
        <v>80.3</v>
      </c>
      <c r="AG25" s="282">
        <f t="shared" si="92"/>
        <v>81.8</v>
      </c>
      <c r="AH25" s="283">
        <f t="shared" si="92"/>
        <v>83.1</v>
      </c>
      <c r="AI25" s="282">
        <f t="shared" si="92"/>
        <v>84.5</v>
      </c>
      <c r="AJ25" s="282">
        <f t="shared" si="92"/>
        <v>85.8</v>
      </c>
      <c r="AK25" s="283">
        <f t="shared" si="92"/>
        <v>87.1</v>
      </c>
      <c r="AL25" s="282">
        <f t="shared" si="92"/>
        <v>88.4</v>
      </c>
      <c r="AM25" s="282">
        <f t="shared" si="92"/>
        <v>89.7</v>
      </c>
      <c r="AN25" s="283">
        <f t="shared" si="92"/>
        <v>91</v>
      </c>
      <c r="AO25" s="282">
        <f t="shared" si="92"/>
        <v>92.2</v>
      </c>
      <c r="AP25" s="282">
        <f t="shared" si="92"/>
        <v>93.5</v>
      </c>
    </row>
    <row r="26" ht="14.25" customHeight="1">
      <c r="A26" s="2"/>
      <c r="B26" s="283">
        <v>24.0</v>
      </c>
      <c r="C26" s="282">
        <f t="shared" ref="C26:J26" si="93">ROUND(AVERAGE($B26/(1.0278-0.0278*C$2),$B26*C$2^0.1),1)</f>
        <v>25.2</v>
      </c>
      <c r="D26" s="282">
        <f t="shared" si="93"/>
        <v>26.1</v>
      </c>
      <c r="E26" s="282">
        <f t="shared" si="93"/>
        <v>26.9</v>
      </c>
      <c r="F26" s="283">
        <f t="shared" si="93"/>
        <v>27.6</v>
      </c>
      <c r="G26" s="282">
        <f t="shared" si="93"/>
        <v>28.3</v>
      </c>
      <c r="H26" s="282">
        <f t="shared" si="93"/>
        <v>29</v>
      </c>
      <c r="I26" s="283">
        <f t="shared" si="93"/>
        <v>29.7</v>
      </c>
      <c r="J26" s="282">
        <f t="shared" si="93"/>
        <v>30.4</v>
      </c>
      <c r="K26" s="283">
        <f t="shared" ref="K26:U26" si="94">ROUND(AVERAGE($B26*(1+0.0333*K$2),$B26*K$2^0.1),1)</f>
        <v>31.1</v>
      </c>
      <c r="L26" s="282">
        <f t="shared" si="94"/>
        <v>31.6</v>
      </c>
      <c r="M26" s="283">
        <f t="shared" si="94"/>
        <v>32.2</v>
      </c>
      <c r="N26" s="282">
        <f t="shared" si="94"/>
        <v>32.7</v>
      </c>
      <c r="O26" s="282">
        <f t="shared" si="94"/>
        <v>33.2</v>
      </c>
      <c r="P26" s="283">
        <f t="shared" si="94"/>
        <v>33.7</v>
      </c>
      <c r="Q26" s="282">
        <f t="shared" si="94"/>
        <v>34.2</v>
      </c>
      <c r="R26" s="282">
        <f t="shared" si="94"/>
        <v>34.7</v>
      </c>
      <c r="S26" s="283">
        <f t="shared" si="94"/>
        <v>35.2</v>
      </c>
      <c r="T26" s="282">
        <f t="shared" si="94"/>
        <v>35.7</v>
      </c>
      <c r="U26" s="282">
        <f t="shared" si="94"/>
        <v>36.2</v>
      </c>
      <c r="V26" s="2"/>
      <c r="W26" s="283">
        <v>63.0</v>
      </c>
      <c r="X26" s="282">
        <f t="shared" ref="X26:AE26" si="95">ROUND(AVERAGE($W26/(1.0278-0.0278*X$2),$W26*X$2^0.1),1)</f>
        <v>66.2</v>
      </c>
      <c r="Y26" s="282">
        <f t="shared" si="95"/>
        <v>68.5</v>
      </c>
      <c r="Z26" s="282">
        <f t="shared" si="95"/>
        <v>70.6</v>
      </c>
      <c r="AA26" s="283">
        <f t="shared" si="95"/>
        <v>72.4</v>
      </c>
      <c r="AB26" s="282">
        <f t="shared" si="95"/>
        <v>74.3</v>
      </c>
      <c r="AC26" s="282">
        <f t="shared" si="95"/>
        <v>76.1</v>
      </c>
      <c r="AD26" s="283">
        <f t="shared" si="95"/>
        <v>77.9</v>
      </c>
      <c r="AE26" s="282">
        <f t="shared" si="95"/>
        <v>79.7</v>
      </c>
      <c r="AF26" s="283">
        <f t="shared" ref="AF26:AP26" si="96">ROUND(AVERAGE($W26*(1+0.0333*K$2),$W26*K$2^0.1),1)</f>
        <v>81.6</v>
      </c>
      <c r="AG26" s="282">
        <f t="shared" si="96"/>
        <v>83.1</v>
      </c>
      <c r="AH26" s="283">
        <f t="shared" si="96"/>
        <v>84.5</v>
      </c>
      <c r="AI26" s="282">
        <f t="shared" si="96"/>
        <v>85.8</v>
      </c>
      <c r="AJ26" s="282">
        <f t="shared" si="96"/>
        <v>87.2</v>
      </c>
      <c r="AK26" s="283">
        <f t="shared" si="96"/>
        <v>88.5</v>
      </c>
      <c r="AL26" s="282">
        <f t="shared" si="96"/>
        <v>89.8</v>
      </c>
      <c r="AM26" s="282">
        <f t="shared" si="96"/>
        <v>91.1</v>
      </c>
      <c r="AN26" s="283">
        <f t="shared" si="96"/>
        <v>92.4</v>
      </c>
      <c r="AO26" s="282">
        <f t="shared" si="96"/>
        <v>93.7</v>
      </c>
      <c r="AP26" s="282">
        <f t="shared" si="96"/>
        <v>95</v>
      </c>
    </row>
    <row r="27" ht="14.25" customHeight="1">
      <c r="A27" s="2"/>
      <c r="B27" s="283">
        <v>25.0</v>
      </c>
      <c r="C27" s="282">
        <f t="shared" ref="C27:J27" si="97">ROUND(AVERAGE($B27/(1.0278-0.0278*C$2),$B27*C$2^0.1),1)</f>
        <v>26.3</v>
      </c>
      <c r="D27" s="282">
        <f t="shared" si="97"/>
        <v>27.2</v>
      </c>
      <c r="E27" s="282">
        <f t="shared" si="97"/>
        <v>28</v>
      </c>
      <c r="F27" s="283">
        <f t="shared" si="97"/>
        <v>28.7</v>
      </c>
      <c r="G27" s="282">
        <f t="shared" si="97"/>
        <v>29.5</v>
      </c>
      <c r="H27" s="282">
        <f t="shared" si="97"/>
        <v>30.2</v>
      </c>
      <c r="I27" s="283">
        <f t="shared" si="97"/>
        <v>30.9</v>
      </c>
      <c r="J27" s="282">
        <f t="shared" si="97"/>
        <v>31.6</v>
      </c>
      <c r="K27" s="283">
        <f t="shared" ref="K27:U27" si="98">ROUND(AVERAGE($B27*(1+0.0333*K$2),$B27*K$2^0.1),1)</f>
        <v>32.4</v>
      </c>
      <c r="L27" s="282">
        <f t="shared" si="98"/>
        <v>33</v>
      </c>
      <c r="M27" s="283">
        <f t="shared" si="98"/>
        <v>33.5</v>
      </c>
      <c r="N27" s="282">
        <f t="shared" si="98"/>
        <v>34.1</v>
      </c>
      <c r="O27" s="282">
        <f t="shared" si="98"/>
        <v>34.6</v>
      </c>
      <c r="P27" s="283">
        <f t="shared" si="98"/>
        <v>35.1</v>
      </c>
      <c r="Q27" s="282">
        <f t="shared" si="98"/>
        <v>35.7</v>
      </c>
      <c r="R27" s="282">
        <f t="shared" si="98"/>
        <v>36.2</v>
      </c>
      <c r="S27" s="283">
        <f t="shared" si="98"/>
        <v>36.7</v>
      </c>
      <c r="T27" s="282">
        <f t="shared" si="98"/>
        <v>37.2</v>
      </c>
      <c r="U27" s="282">
        <f t="shared" si="98"/>
        <v>37.7</v>
      </c>
      <c r="V27" s="2"/>
      <c r="W27" s="283">
        <v>64.0</v>
      </c>
      <c r="X27" s="282">
        <f t="shared" ref="X27:AE27" si="99">ROUND(AVERAGE($W27/(1.0278-0.0278*X$2),$W27*X$2^0.1),1)</f>
        <v>67.2</v>
      </c>
      <c r="Y27" s="282">
        <f t="shared" si="99"/>
        <v>69.6</v>
      </c>
      <c r="Z27" s="282">
        <f t="shared" si="99"/>
        <v>71.7</v>
      </c>
      <c r="AA27" s="283">
        <f t="shared" si="99"/>
        <v>73.6</v>
      </c>
      <c r="AB27" s="282">
        <f t="shared" si="99"/>
        <v>75.4</v>
      </c>
      <c r="AC27" s="282">
        <f t="shared" si="99"/>
        <v>77.3</v>
      </c>
      <c r="AD27" s="283">
        <f t="shared" si="99"/>
        <v>79.1</v>
      </c>
      <c r="AE27" s="282">
        <f t="shared" si="99"/>
        <v>81</v>
      </c>
      <c r="AF27" s="283">
        <f t="shared" ref="AF27:AP27" si="100">ROUND(AVERAGE($W27*(1+0.0333*K$2),$W27*K$2^0.1),1)</f>
        <v>82.9</v>
      </c>
      <c r="AG27" s="282">
        <f t="shared" si="100"/>
        <v>84.4</v>
      </c>
      <c r="AH27" s="283">
        <f t="shared" si="100"/>
        <v>85.8</v>
      </c>
      <c r="AI27" s="282">
        <f t="shared" si="100"/>
        <v>87.2</v>
      </c>
      <c r="AJ27" s="282">
        <f t="shared" si="100"/>
        <v>88.6</v>
      </c>
      <c r="AK27" s="283">
        <f t="shared" si="100"/>
        <v>89.9</v>
      </c>
      <c r="AL27" s="282">
        <f t="shared" si="100"/>
        <v>91.3</v>
      </c>
      <c r="AM27" s="282">
        <f t="shared" si="100"/>
        <v>92.6</v>
      </c>
      <c r="AN27" s="283">
        <f t="shared" si="100"/>
        <v>93.9</v>
      </c>
      <c r="AO27" s="282">
        <f t="shared" si="100"/>
        <v>95.2</v>
      </c>
      <c r="AP27" s="282">
        <f t="shared" si="100"/>
        <v>96.5</v>
      </c>
    </row>
    <row r="28" ht="14.25" customHeight="1">
      <c r="A28" s="2"/>
      <c r="B28" s="283">
        <v>26.0</v>
      </c>
      <c r="C28" s="282">
        <f t="shared" ref="C28:J28" si="101">ROUND(AVERAGE($B28/(1.0278-0.0278*C$2),$B28*C$2^0.1),1)</f>
        <v>27.3</v>
      </c>
      <c r="D28" s="282">
        <f t="shared" si="101"/>
        <v>28.3</v>
      </c>
      <c r="E28" s="282">
        <f t="shared" si="101"/>
        <v>29.1</v>
      </c>
      <c r="F28" s="283">
        <f t="shared" si="101"/>
        <v>29.9</v>
      </c>
      <c r="G28" s="282">
        <f t="shared" si="101"/>
        <v>30.6</v>
      </c>
      <c r="H28" s="282">
        <f t="shared" si="101"/>
        <v>31.4</v>
      </c>
      <c r="I28" s="283">
        <f t="shared" si="101"/>
        <v>32.1</v>
      </c>
      <c r="J28" s="282">
        <f t="shared" si="101"/>
        <v>32.9</v>
      </c>
      <c r="K28" s="283">
        <f t="shared" ref="K28:U28" si="102">ROUND(AVERAGE($B28*(1+0.0333*K$2),$B28*K$2^0.1),1)</f>
        <v>33.7</v>
      </c>
      <c r="L28" s="282">
        <f t="shared" si="102"/>
        <v>34.3</v>
      </c>
      <c r="M28" s="283">
        <f t="shared" si="102"/>
        <v>34.9</v>
      </c>
      <c r="N28" s="282">
        <f t="shared" si="102"/>
        <v>35.4</v>
      </c>
      <c r="O28" s="282">
        <f t="shared" si="102"/>
        <v>36</v>
      </c>
      <c r="P28" s="283">
        <f t="shared" si="102"/>
        <v>36.5</v>
      </c>
      <c r="Q28" s="282">
        <f t="shared" si="102"/>
        <v>37.1</v>
      </c>
      <c r="R28" s="282">
        <f t="shared" si="102"/>
        <v>37.6</v>
      </c>
      <c r="S28" s="283">
        <f t="shared" si="102"/>
        <v>38.1</v>
      </c>
      <c r="T28" s="282">
        <f t="shared" si="102"/>
        <v>38.7</v>
      </c>
      <c r="U28" s="282">
        <f t="shared" si="102"/>
        <v>39.2</v>
      </c>
      <c r="V28" s="2"/>
      <c r="W28" s="283">
        <v>65.0</v>
      </c>
      <c r="X28" s="282">
        <f t="shared" ref="X28:AE28" si="103">ROUND(AVERAGE($W28/(1.0278-0.0278*X$2),$W28*X$2^0.1),1)</f>
        <v>68.3</v>
      </c>
      <c r="Y28" s="282">
        <f t="shared" si="103"/>
        <v>70.7</v>
      </c>
      <c r="Z28" s="282">
        <f t="shared" si="103"/>
        <v>72.8</v>
      </c>
      <c r="AA28" s="283">
        <f t="shared" si="103"/>
        <v>74.7</v>
      </c>
      <c r="AB28" s="282">
        <f t="shared" si="103"/>
        <v>76.6</v>
      </c>
      <c r="AC28" s="282">
        <f t="shared" si="103"/>
        <v>78.5</v>
      </c>
      <c r="AD28" s="283">
        <f t="shared" si="103"/>
        <v>80.4</v>
      </c>
      <c r="AE28" s="282">
        <f t="shared" si="103"/>
        <v>82.3</v>
      </c>
      <c r="AF28" s="283">
        <f t="shared" ref="AF28:AP28" si="104">ROUND(AVERAGE($W28*(1+0.0333*K$2),$W28*K$2^0.1),1)</f>
        <v>84.2</v>
      </c>
      <c r="AG28" s="282">
        <f t="shared" si="104"/>
        <v>85.7</v>
      </c>
      <c r="AH28" s="283">
        <f t="shared" si="104"/>
        <v>87.2</v>
      </c>
      <c r="AI28" s="282">
        <f t="shared" si="104"/>
        <v>88.6</v>
      </c>
      <c r="AJ28" s="282">
        <f t="shared" si="104"/>
        <v>90</v>
      </c>
      <c r="AK28" s="283">
        <f t="shared" si="104"/>
        <v>91.3</v>
      </c>
      <c r="AL28" s="282">
        <f t="shared" si="104"/>
        <v>92.7</v>
      </c>
      <c r="AM28" s="282">
        <f t="shared" si="104"/>
        <v>94</v>
      </c>
      <c r="AN28" s="283">
        <f t="shared" si="104"/>
        <v>95.4</v>
      </c>
      <c r="AO28" s="282">
        <f t="shared" si="104"/>
        <v>96.7</v>
      </c>
      <c r="AP28" s="282">
        <f t="shared" si="104"/>
        <v>98</v>
      </c>
    </row>
    <row r="29" ht="14.25" customHeight="1">
      <c r="A29" s="2"/>
      <c r="B29" s="283">
        <v>27.0</v>
      </c>
      <c r="C29" s="282">
        <f t="shared" ref="C29:J29" si="105">ROUND(AVERAGE($B29/(1.0278-0.0278*C$2),$B29*C$2^0.1),1)</f>
        <v>28.4</v>
      </c>
      <c r="D29" s="282">
        <f t="shared" si="105"/>
        <v>29.4</v>
      </c>
      <c r="E29" s="282">
        <f t="shared" si="105"/>
        <v>30.2</v>
      </c>
      <c r="F29" s="283">
        <f t="shared" si="105"/>
        <v>31</v>
      </c>
      <c r="G29" s="282">
        <f t="shared" si="105"/>
        <v>31.8</v>
      </c>
      <c r="H29" s="282">
        <f t="shared" si="105"/>
        <v>32.6</v>
      </c>
      <c r="I29" s="283">
        <f t="shared" si="105"/>
        <v>33.4</v>
      </c>
      <c r="J29" s="282">
        <f t="shared" si="105"/>
        <v>34.2</v>
      </c>
      <c r="K29" s="283">
        <f t="shared" ref="K29:U29" si="106">ROUND(AVERAGE($B29*(1+0.0333*K$2),$B29*K$2^0.1),1)</f>
        <v>35</v>
      </c>
      <c r="L29" s="282">
        <f t="shared" si="106"/>
        <v>35.6</v>
      </c>
      <c r="M29" s="283">
        <f t="shared" si="106"/>
        <v>36.2</v>
      </c>
      <c r="N29" s="282">
        <f t="shared" si="106"/>
        <v>36.8</v>
      </c>
      <c r="O29" s="282">
        <f t="shared" si="106"/>
        <v>37.4</v>
      </c>
      <c r="P29" s="283">
        <f t="shared" si="106"/>
        <v>37.9</v>
      </c>
      <c r="Q29" s="282">
        <f t="shared" si="106"/>
        <v>38.5</v>
      </c>
      <c r="R29" s="282">
        <f t="shared" si="106"/>
        <v>39.1</v>
      </c>
      <c r="S29" s="283">
        <f t="shared" si="106"/>
        <v>39.6</v>
      </c>
      <c r="T29" s="282">
        <f t="shared" si="106"/>
        <v>40.2</v>
      </c>
      <c r="U29" s="282">
        <f t="shared" si="106"/>
        <v>40.7</v>
      </c>
      <c r="V29" s="2"/>
      <c r="W29" s="283">
        <v>66.0</v>
      </c>
      <c r="X29" s="282">
        <f t="shared" ref="X29:AE29" si="107">ROUND(AVERAGE($W29/(1.0278-0.0278*X$2),$W29*X$2^0.1),1)</f>
        <v>69.3</v>
      </c>
      <c r="Y29" s="282">
        <f t="shared" si="107"/>
        <v>71.8</v>
      </c>
      <c r="Z29" s="282">
        <f t="shared" si="107"/>
        <v>73.9</v>
      </c>
      <c r="AA29" s="283">
        <f t="shared" si="107"/>
        <v>75.9</v>
      </c>
      <c r="AB29" s="282">
        <f t="shared" si="107"/>
        <v>77.8</v>
      </c>
      <c r="AC29" s="282">
        <f t="shared" si="107"/>
        <v>79.7</v>
      </c>
      <c r="AD29" s="283">
        <f t="shared" si="107"/>
        <v>81.6</v>
      </c>
      <c r="AE29" s="282">
        <f t="shared" si="107"/>
        <v>83.5</v>
      </c>
      <c r="AF29" s="283">
        <f t="shared" ref="AF29:AP29" si="108">ROUND(AVERAGE($W29*(1+0.0333*K$2),$W29*K$2^0.1),1)</f>
        <v>85.5</v>
      </c>
      <c r="AG29" s="282">
        <f t="shared" si="108"/>
        <v>87</v>
      </c>
      <c r="AH29" s="283">
        <f t="shared" si="108"/>
        <v>88.5</v>
      </c>
      <c r="AI29" s="282">
        <f t="shared" si="108"/>
        <v>89.9</v>
      </c>
      <c r="AJ29" s="282">
        <f t="shared" si="108"/>
        <v>91.4</v>
      </c>
      <c r="AK29" s="283">
        <f t="shared" si="108"/>
        <v>92.7</v>
      </c>
      <c r="AL29" s="282">
        <f t="shared" si="108"/>
        <v>94.1</v>
      </c>
      <c r="AM29" s="282">
        <f t="shared" si="108"/>
        <v>95.5</v>
      </c>
      <c r="AN29" s="283">
        <f t="shared" si="108"/>
        <v>96.8</v>
      </c>
      <c r="AO29" s="282">
        <f t="shared" si="108"/>
        <v>98.2</v>
      </c>
      <c r="AP29" s="282">
        <f t="shared" si="108"/>
        <v>99.5</v>
      </c>
    </row>
    <row r="30" ht="14.25" customHeight="1">
      <c r="A30" s="2"/>
      <c r="B30" s="283">
        <v>28.0</v>
      </c>
      <c r="C30" s="282">
        <f t="shared" ref="C30:J30" si="109">ROUND(AVERAGE($B30/(1.0278-0.0278*C$2),$B30*C$2^0.1),1)</f>
        <v>29.4</v>
      </c>
      <c r="D30" s="282">
        <f t="shared" si="109"/>
        <v>30.4</v>
      </c>
      <c r="E30" s="282">
        <f t="shared" si="109"/>
        <v>31.4</v>
      </c>
      <c r="F30" s="283">
        <f t="shared" si="109"/>
        <v>32.2</v>
      </c>
      <c r="G30" s="282">
        <f t="shared" si="109"/>
        <v>33</v>
      </c>
      <c r="H30" s="282">
        <f t="shared" si="109"/>
        <v>33.8</v>
      </c>
      <c r="I30" s="283">
        <f t="shared" si="109"/>
        <v>34.6</v>
      </c>
      <c r="J30" s="282">
        <f t="shared" si="109"/>
        <v>35.4</v>
      </c>
      <c r="K30" s="283">
        <f t="shared" ref="K30:U30" si="110">ROUND(AVERAGE($B30*(1+0.0333*K$2),$B30*K$2^0.1),1)</f>
        <v>36.3</v>
      </c>
      <c r="L30" s="282">
        <f t="shared" si="110"/>
        <v>36.9</v>
      </c>
      <c r="M30" s="283">
        <f t="shared" si="110"/>
        <v>37.5</v>
      </c>
      <c r="N30" s="282">
        <f t="shared" si="110"/>
        <v>38.2</v>
      </c>
      <c r="O30" s="282">
        <f t="shared" si="110"/>
        <v>38.8</v>
      </c>
      <c r="P30" s="283">
        <f t="shared" si="110"/>
        <v>39.3</v>
      </c>
      <c r="Q30" s="282">
        <f t="shared" si="110"/>
        <v>39.9</v>
      </c>
      <c r="R30" s="282">
        <f t="shared" si="110"/>
        <v>40.5</v>
      </c>
      <c r="S30" s="283">
        <f t="shared" si="110"/>
        <v>41.1</v>
      </c>
      <c r="T30" s="282">
        <f t="shared" si="110"/>
        <v>41.7</v>
      </c>
      <c r="U30" s="282">
        <f t="shared" si="110"/>
        <v>42.2</v>
      </c>
      <c r="V30" s="2"/>
      <c r="W30" s="283">
        <v>67.0</v>
      </c>
      <c r="X30" s="282">
        <f t="shared" ref="X30:AE30" si="111">ROUND(AVERAGE($W30/(1.0278-0.0278*X$2),$W30*X$2^0.1),1)</f>
        <v>70.4</v>
      </c>
      <c r="Y30" s="282">
        <f t="shared" si="111"/>
        <v>72.9</v>
      </c>
      <c r="Z30" s="282">
        <f t="shared" si="111"/>
        <v>75</v>
      </c>
      <c r="AA30" s="283">
        <f t="shared" si="111"/>
        <v>77</v>
      </c>
      <c r="AB30" s="282">
        <f t="shared" si="111"/>
        <v>79</v>
      </c>
      <c r="AC30" s="282">
        <f t="shared" si="111"/>
        <v>80.9</v>
      </c>
      <c r="AD30" s="283">
        <f t="shared" si="111"/>
        <v>82.8</v>
      </c>
      <c r="AE30" s="282">
        <f t="shared" si="111"/>
        <v>84.8</v>
      </c>
      <c r="AF30" s="283">
        <f t="shared" ref="AF30:AP30" si="112">ROUND(AVERAGE($W30*(1+0.0333*K$2),$W30*K$2^0.1),1)</f>
        <v>86.8</v>
      </c>
      <c r="AG30" s="282">
        <f t="shared" si="112"/>
        <v>88.3</v>
      </c>
      <c r="AH30" s="283">
        <f t="shared" si="112"/>
        <v>89.8</v>
      </c>
      <c r="AI30" s="282">
        <f t="shared" si="112"/>
        <v>91.3</v>
      </c>
      <c r="AJ30" s="282">
        <f t="shared" si="112"/>
        <v>92.7</v>
      </c>
      <c r="AK30" s="283">
        <f t="shared" si="112"/>
        <v>94.2</v>
      </c>
      <c r="AL30" s="282">
        <f t="shared" si="112"/>
        <v>95.6</v>
      </c>
      <c r="AM30" s="282">
        <f t="shared" si="112"/>
        <v>96.9</v>
      </c>
      <c r="AN30" s="283">
        <f t="shared" si="112"/>
        <v>98.3</v>
      </c>
      <c r="AO30" s="282">
        <f t="shared" si="112"/>
        <v>99.7</v>
      </c>
      <c r="AP30" s="282">
        <f t="shared" si="112"/>
        <v>101</v>
      </c>
    </row>
    <row r="31" ht="14.25" customHeight="1">
      <c r="A31" s="2"/>
      <c r="B31" s="283">
        <v>29.0</v>
      </c>
      <c r="C31" s="282">
        <f t="shared" ref="C31:J31" si="113">ROUND(AVERAGE($B31/(1.0278-0.0278*C$2),$B31*C$2^0.1),1)</f>
        <v>30.5</v>
      </c>
      <c r="D31" s="282">
        <f t="shared" si="113"/>
        <v>31.5</v>
      </c>
      <c r="E31" s="282">
        <f t="shared" si="113"/>
        <v>32.5</v>
      </c>
      <c r="F31" s="283">
        <f t="shared" si="113"/>
        <v>33.3</v>
      </c>
      <c r="G31" s="282">
        <f t="shared" si="113"/>
        <v>34.2</v>
      </c>
      <c r="H31" s="282">
        <f t="shared" si="113"/>
        <v>35</v>
      </c>
      <c r="I31" s="283">
        <f t="shared" si="113"/>
        <v>35.9</v>
      </c>
      <c r="J31" s="282">
        <f t="shared" si="113"/>
        <v>36.7</v>
      </c>
      <c r="K31" s="283">
        <f t="shared" ref="K31:U31" si="114">ROUND(AVERAGE($B31*(1+0.0333*K$2),$B31*K$2^0.1),1)</f>
        <v>37.6</v>
      </c>
      <c r="L31" s="282">
        <f t="shared" si="114"/>
        <v>38.2</v>
      </c>
      <c r="M31" s="283">
        <f t="shared" si="114"/>
        <v>38.9</v>
      </c>
      <c r="N31" s="282">
        <f t="shared" si="114"/>
        <v>39.5</v>
      </c>
      <c r="O31" s="282">
        <f t="shared" si="114"/>
        <v>40.1</v>
      </c>
      <c r="P31" s="283">
        <f t="shared" si="114"/>
        <v>40.8</v>
      </c>
      <c r="Q31" s="282">
        <f t="shared" si="114"/>
        <v>41.4</v>
      </c>
      <c r="R31" s="282">
        <f t="shared" si="114"/>
        <v>42</v>
      </c>
      <c r="S31" s="283">
        <f t="shared" si="114"/>
        <v>42.6</v>
      </c>
      <c r="T31" s="282">
        <f t="shared" si="114"/>
        <v>43.1</v>
      </c>
      <c r="U31" s="282">
        <f t="shared" si="114"/>
        <v>43.7</v>
      </c>
      <c r="V31" s="2"/>
      <c r="W31" s="283">
        <v>68.0</v>
      </c>
      <c r="X31" s="282">
        <f t="shared" ref="X31:AE31" si="115">ROUND(AVERAGE($W31/(1.0278-0.0278*X$2),$W31*X$2^0.1),1)</f>
        <v>71.4</v>
      </c>
      <c r="Y31" s="282">
        <f t="shared" si="115"/>
        <v>73.9</v>
      </c>
      <c r="Z31" s="282">
        <f t="shared" si="115"/>
        <v>76.1</v>
      </c>
      <c r="AA31" s="283">
        <f t="shared" si="115"/>
        <v>78.2</v>
      </c>
      <c r="AB31" s="282">
        <f t="shared" si="115"/>
        <v>80.2</v>
      </c>
      <c r="AC31" s="282">
        <f t="shared" si="115"/>
        <v>82.1</v>
      </c>
      <c r="AD31" s="283">
        <f t="shared" si="115"/>
        <v>84.1</v>
      </c>
      <c r="AE31" s="282">
        <f t="shared" si="115"/>
        <v>86.1</v>
      </c>
      <c r="AF31" s="283">
        <f t="shared" ref="AF31:AP31" si="116">ROUND(AVERAGE($W31*(1+0.0333*K$2),$W31*K$2^0.1),1)</f>
        <v>88.1</v>
      </c>
      <c r="AG31" s="282">
        <f t="shared" si="116"/>
        <v>89.7</v>
      </c>
      <c r="AH31" s="283">
        <f t="shared" si="116"/>
        <v>91.2</v>
      </c>
      <c r="AI31" s="282">
        <f t="shared" si="116"/>
        <v>92.7</v>
      </c>
      <c r="AJ31" s="282">
        <f t="shared" si="116"/>
        <v>94.1</v>
      </c>
      <c r="AK31" s="283">
        <f t="shared" si="116"/>
        <v>95.6</v>
      </c>
      <c r="AL31" s="282">
        <f t="shared" si="116"/>
        <v>97</v>
      </c>
      <c r="AM31" s="282">
        <f t="shared" si="116"/>
        <v>98.4</v>
      </c>
      <c r="AN31" s="283">
        <f t="shared" si="116"/>
        <v>99.8</v>
      </c>
      <c r="AO31" s="282">
        <f t="shared" si="116"/>
        <v>101.2</v>
      </c>
      <c r="AP31" s="282">
        <f t="shared" si="116"/>
        <v>102.5</v>
      </c>
    </row>
    <row r="32" ht="14.25" customHeight="1">
      <c r="A32" s="2"/>
      <c r="B32" s="283">
        <v>30.0</v>
      </c>
      <c r="C32" s="282">
        <f t="shared" ref="C32:J32" si="117">ROUND(AVERAGE($B32/(1.0278-0.0278*C$2),$B32*C$2^0.1),1)</f>
        <v>31.5</v>
      </c>
      <c r="D32" s="282">
        <f t="shared" si="117"/>
        <v>32.6</v>
      </c>
      <c r="E32" s="282">
        <f t="shared" si="117"/>
        <v>33.6</v>
      </c>
      <c r="F32" s="283">
        <f t="shared" si="117"/>
        <v>34.5</v>
      </c>
      <c r="G32" s="282">
        <f t="shared" si="117"/>
        <v>35.4</v>
      </c>
      <c r="H32" s="282">
        <f t="shared" si="117"/>
        <v>36.2</v>
      </c>
      <c r="I32" s="283">
        <f t="shared" si="117"/>
        <v>37.1</v>
      </c>
      <c r="J32" s="282">
        <f t="shared" si="117"/>
        <v>38</v>
      </c>
      <c r="K32" s="283">
        <f t="shared" ref="K32:U32" si="118">ROUND(AVERAGE($B32*(1+0.0333*K$2),$B32*K$2^0.1),1)</f>
        <v>38.9</v>
      </c>
      <c r="L32" s="282">
        <f t="shared" si="118"/>
        <v>39.6</v>
      </c>
      <c r="M32" s="283">
        <f t="shared" si="118"/>
        <v>40.2</v>
      </c>
      <c r="N32" s="282">
        <f t="shared" si="118"/>
        <v>40.9</v>
      </c>
      <c r="O32" s="282">
        <f t="shared" si="118"/>
        <v>41.5</v>
      </c>
      <c r="P32" s="283">
        <f t="shared" si="118"/>
        <v>42.2</v>
      </c>
      <c r="Q32" s="282">
        <f t="shared" si="118"/>
        <v>42.8</v>
      </c>
      <c r="R32" s="282">
        <f t="shared" si="118"/>
        <v>43.4</v>
      </c>
      <c r="S32" s="283">
        <f t="shared" si="118"/>
        <v>44</v>
      </c>
      <c r="T32" s="282">
        <f t="shared" si="118"/>
        <v>44.6</v>
      </c>
      <c r="U32" s="282">
        <f t="shared" si="118"/>
        <v>45.2</v>
      </c>
      <c r="V32" s="2"/>
      <c r="W32" s="283">
        <v>69.0</v>
      </c>
      <c r="X32" s="282">
        <f t="shared" ref="X32:AE32" si="119">ROUND(AVERAGE($W32/(1.0278-0.0278*X$2),$W32*X$2^0.1),1)</f>
        <v>72.5</v>
      </c>
      <c r="Y32" s="282">
        <f t="shared" si="119"/>
        <v>75</v>
      </c>
      <c r="Z32" s="282">
        <f t="shared" si="119"/>
        <v>77.3</v>
      </c>
      <c r="AA32" s="283">
        <f t="shared" si="119"/>
        <v>79.3</v>
      </c>
      <c r="AB32" s="282">
        <f t="shared" si="119"/>
        <v>81.3</v>
      </c>
      <c r="AC32" s="282">
        <f t="shared" si="119"/>
        <v>83.3</v>
      </c>
      <c r="AD32" s="283">
        <f t="shared" si="119"/>
        <v>85.3</v>
      </c>
      <c r="AE32" s="282">
        <f t="shared" si="119"/>
        <v>87.3</v>
      </c>
      <c r="AF32" s="283">
        <f t="shared" ref="AF32:AP32" si="120">ROUND(AVERAGE($W32*(1+0.0333*K$2),$W32*K$2^0.1),1)</f>
        <v>89.4</v>
      </c>
      <c r="AG32" s="282">
        <f t="shared" si="120"/>
        <v>91</v>
      </c>
      <c r="AH32" s="283">
        <f t="shared" si="120"/>
        <v>92.5</v>
      </c>
      <c r="AI32" s="282">
        <f t="shared" si="120"/>
        <v>94</v>
      </c>
      <c r="AJ32" s="282">
        <f t="shared" si="120"/>
        <v>95.5</v>
      </c>
      <c r="AK32" s="283">
        <f t="shared" si="120"/>
        <v>97</v>
      </c>
      <c r="AL32" s="282">
        <f t="shared" si="120"/>
        <v>98.4</v>
      </c>
      <c r="AM32" s="282">
        <f t="shared" si="120"/>
        <v>99.8</v>
      </c>
      <c r="AN32" s="283">
        <f t="shared" si="120"/>
        <v>101.2</v>
      </c>
      <c r="AO32" s="282">
        <f t="shared" si="120"/>
        <v>102.6</v>
      </c>
      <c r="AP32" s="282">
        <f t="shared" si="120"/>
        <v>104</v>
      </c>
    </row>
    <row r="33" ht="14.25" customHeight="1">
      <c r="A33" s="2"/>
      <c r="B33" s="283">
        <v>31.0</v>
      </c>
      <c r="C33" s="282">
        <f t="shared" ref="C33:J33" si="121">ROUND(AVERAGE($B33/(1.0278-0.0278*C$2),$B33*C$2^0.1),1)</f>
        <v>32.6</v>
      </c>
      <c r="D33" s="282">
        <f t="shared" si="121"/>
        <v>33.7</v>
      </c>
      <c r="E33" s="282">
        <f t="shared" si="121"/>
        <v>34.7</v>
      </c>
      <c r="F33" s="283">
        <f t="shared" si="121"/>
        <v>35.6</v>
      </c>
      <c r="G33" s="282">
        <f t="shared" si="121"/>
        <v>36.5</v>
      </c>
      <c r="H33" s="282">
        <f t="shared" si="121"/>
        <v>37.4</v>
      </c>
      <c r="I33" s="283">
        <f t="shared" si="121"/>
        <v>38.3</v>
      </c>
      <c r="J33" s="282">
        <f t="shared" si="121"/>
        <v>39.2</v>
      </c>
      <c r="K33" s="283">
        <f t="shared" ref="K33:U33" si="122">ROUND(AVERAGE($B33*(1+0.0333*K$2),$B33*K$2^0.1),1)</f>
        <v>40.2</v>
      </c>
      <c r="L33" s="282">
        <f t="shared" si="122"/>
        <v>40.9</v>
      </c>
      <c r="M33" s="283">
        <f t="shared" si="122"/>
        <v>41.6</v>
      </c>
      <c r="N33" s="282">
        <f t="shared" si="122"/>
        <v>42.2</v>
      </c>
      <c r="O33" s="282">
        <f t="shared" si="122"/>
        <v>42.9</v>
      </c>
      <c r="P33" s="283">
        <f t="shared" si="122"/>
        <v>43.6</v>
      </c>
      <c r="Q33" s="282">
        <f t="shared" si="122"/>
        <v>44.2</v>
      </c>
      <c r="R33" s="282">
        <f t="shared" si="122"/>
        <v>44.9</v>
      </c>
      <c r="S33" s="283">
        <f t="shared" si="122"/>
        <v>45.5</v>
      </c>
      <c r="T33" s="282">
        <f t="shared" si="122"/>
        <v>46.1</v>
      </c>
      <c r="U33" s="282">
        <f t="shared" si="122"/>
        <v>46.7</v>
      </c>
      <c r="V33" s="2"/>
      <c r="W33" s="283">
        <v>70.0</v>
      </c>
      <c r="X33" s="282">
        <f t="shared" ref="X33:AE33" si="123">ROUND(AVERAGE($W33/(1.0278-0.0278*X$2),$W33*X$2^0.1),1)</f>
        <v>73.5</v>
      </c>
      <c r="Y33" s="282">
        <f t="shared" si="123"/>
        <v>76.1</v>
      </c>
      <c r="Z33" s="282">
        <f t="shared" si="123"/>
        <v>78.4</v>
      </c>
      <c r="AA33" s="283">
        <f t="shared" si="123"/>
        <v>80.5</v>
      </c>
      <c r="AB33" s="282">
        <f t="shared" si="123"/>
        <v>82.5</v>
      </c>
      <c r="AC33" s="282">
        <f t="shared" si="123"/>
        <v>84.5</v>
      </c>
      <c r="AD33" s="283">
        <f t="shared" si="123"/>
        <v>86.5</v>
      </c>
      <c r="AE33" s="282">
        <f t="shared" si="123"/>
        <v>88.6</v>
      </c>
      <c r="AF33" s="283">
        <f t="shared" ref="AF33:AP33" si="124">ROUND(AVERAGE($W33*(1+0.0333*K$2),$W33*K$2^0.1),1)</f>
        <v>90.7</v>
      </c>
      <c r="AG33" s="282">
        <f t="shared" si="124"/>
        <v>92.3</v>
      </c>
      <c r="AH33" s="283">
        <f t="shared" si="124"/>
        <v>93.9</v>
      </c>
      <c r="AI33" s="282">
        <f t="shared" si="124"/>
        <v>95.4</v>
      </c>
      <c r="AJ33" s="282">
        <f t="shared" si="124"/>
        <v>96.9</v>
      </c>
      <c r="AK33" s="283">
        <f t="shared" si="124"/>
        <v>98.4</v>
      </c>
      <c r="AL33" s="282">
        <f t="shared" si="124"/>
        <v>99.8</v>
      </c>
      <c r="AM33" s="282">
        <f t="shared" si="124"/>
        <v>101.3</v>
      </c>
      <c r="AN33" s="283">
        <f t="shared" si="124"/>
        <v>102.7</v>
      </c>
      <c r="AO33" s="282">
        <f t="shared" si="124"/>
        <v>104.1</v>
      </c>
      <c r="AP33" s="282">
        <f t="shared" si="124"/>
        <v>105.5</v>
      </c>
    </row>
    <row r="34" ht="14.25" customHeight="1">
      <c r="A34" s="2"/>
      <c r="B34" s="283">
        <v>32.0</v>
      </c>
      <c r="C34" s="282">
        <f t="shared" ref="C34:J34" si="125">ROUND(AVERAGE($B34/(1.0278-0.0278*C$2),$B34*C$2^0.1),1)</f>
        <v>33.6</v>
      </c>
      <c r="D34" s="282">
        <f t="shared" si="125"/>
        <v>34.8</v>
      </c>
      <c r="E34" s="282">
        <f t="shared" si="125"/>
        <v>35.8</v>
      </c>
      <c r="F34" s="283">
        <f t="shared" si="125"/>
        <v>36.8</v>
      </c>
      <c r="G34" s="282">
        <f t="shared" si="125"/>
        <v>37.7</v>
      </c>
      <c r="H34" s="282">
        <f t="shared" si="125"/>
        <v>38.6</v>
      </c>
      <c r="I34" s="283">
        <f t="shared" si="125"/>
        <v>39.6</v>
      </c>
      <c r="J34" s="282">
        <f t="shared" si="125"/>
        <v>40.5</v>
      </c>
      <c r="K34" s="283">
        <f t="shared" ref="K34:U34" si="126">ROUND(AVERAGE($B34*(1+0.0333*K$2),$B34*K$2^0.1),1)</f>
        <v>41.5</v>
      </c>
      <c r="L34" s="282">
        <f t="shared" si="126"/>
        <v>42.2</v>
      </c>
      <c r="M34" s="283">
        <f t="shared" si="126"/>
        <v>42.9</v>
      </c>
      <c r="N34" s="282">
        <f t="shared" si="126"/>
        <v>43.6</v>
      </c>
      <c r="O34" s="282">
        <f t="shared" si="126"/>
        <v>44.3</v>
      </c>
      <c r="P34" s="283">
        <f t="shared" si="126"/>
        <v>45</v>
      </c>
      <c r="Q34" s="282">
        <f t="shared" si="126"/>
        <v>45.6</v>
      </c>
      <c r="R34" s="282">
        <f t="shared" si="126"/>
        <v>46.3</v>
      </c>
      <c r="S34" s="283">
        <f t="shared" si="126"/>
        <v>47</v>
      </c>
      <c r="T34" s="282">
        <f t="shared" si="126"/>
        <v>47.6</v>
      </c>
      <c r="U34" s="282">
        <f t="shared" si="126"/>
        <v>48.2</v>
      </c>
      <c r="V34" s="2"/>
      <c r="W34" s="283">
        <v>71.0</v>
      </c>
      <c r="X34" s="282">
        <f t="shared" ref="X34:AE34" si="127">ROUND(AVERAGE($W34/(1.0278-0.0278*X$2),$W34*X$2^0.1),1)</f>
        <v>74.6</v>
      </c>
      <c r="Y34" s="282">
        <f t="shared" si="127"/>
        <v>77.2</v>
      </c>
      <c r="Z34" s="282">
        <f t="shared" si="127"/>
        <v>79.5</v>
      </c>
      <c r="AA34" s="283">
        <f t="shared" si="127"/>
        <v>81.6</v>
      </c>
      <c r="AB34" s="282">
        <f t="shared" si="127"/>
        <v>83.7</v>
      </c>
      <c r="AC34" s="282">
        <f t="shared" si="127"/>
        <v>85.7</v>
      </c>
      <c r="AD34" s="283">
        <f t="shared" si="127"/>
        <v>87.8</v>
      </c>
      <c r="AE34" s="282">
        <f t="shared" si="127"/>
        <v>89.9</v>
      </c>
      <c r="AF34" s="283">
        <f t="shared" ref="AF34:AP34" si="128">ROUND(AVERAGE($W34*(1+0.0333*K$2),$W34*K$2^0.1),1)</f>
        <v>92</v>
      </c>
      <c r="AG34" s="282">
        <f t="shared" si="128"/>
        <v>93.6</v>
      </c>
      <c r="AH34" s="283">
        <f t="shared" si="128"/>
        <v>95.2</v>
      </c>
      <c r="AI34" s="282">
        <f t="shared" si="128"/>
        <v>96.7</v>
      </c>
      <c r="AJ34" s="282">
        <f t="shared" si="128"/>
        <v>98.3</v>
      </c>
      <c r="AK34" s="283">
        <f t="shared" si="128"/>
        <v>99.8</v>
      </c>
      <c r="AL34" s="282">
        <f t="shared" si="128"/>
        <v>101.3</v>
      </c>
      <c r="AM34" s="282">
        <f t="shared" si="128"/>
        <v>102.7</v>
      </c>
      <c r="AN34" s="283">
        <f t="shared" si="128"/>
        <v>104.2</v>
      </c>
      <c r="AO34" s="282">
        <f t="shared" si="128"/>
        <v>105.6</v>
      </c>
      <c r="AP34" s="282">
        <f t="shared" si="128"/>
        <v>107</v>
      </c>
    </row>
    <row r="35" ht="14.25" customHeight="1">
      <c r="A35" s="2"/>
      <c r="B35" s="283">
        <v>33.0</v>
      </c>
      <c r="C35" s="282">
        <f t="shared" ref="C35:J35" si="129">ROUND(AVERAGE($B35/(1.0278-0.0278*C$2),$B35*C$2^0.1),1)</f>
        <v>34.7</v>
      </c>
      <c r="D35" s="282">
        <f t="shared" si="129"/>
        <v>35.9</v>
      </c>
      <c r="E35" s="282">
        <f t="shared" si="129"/>
        <v>37</v>
      </c>
      <c r="F35" s="283">
        <f t="shared" si="129"/>
        <v>37.9</v>
      </c>
      <c r="G35" s="282">
        <f t="shared" si="129"/>
        <v>38.9</v>
      </c>
      <c r="H35" s="282">
        <f t="shared" si="129"/>
        <v>39.8</v>
      </c>
      <c r="I35" s="283">
        <f t="shared" si="129"/>
        <v>40.8</v>
      </c>
      <c r="J35" s="282">
        <f t="shared" si="129"/>
        <v>41.8</v>
      </c>
      <c r="K35" s="283">
        <f t="shared" ref="K35:U35" si="130">ROUND(AVERAGE($B35*(1+0.0333*K$2),$B35*K$2^0.1),1)</f>
        <v>42.8</v>
      </c>
      <c r="L35" s="282">
        <f t="shared" si="130"/>
        <v>43.5</v>
      </c>
      <c r="M35" s="283">
        <f t="shared" si="130"/>
        <v>44.2</v>
      </c>
      <c r="N35" s="282">
        <f t="shared" si="130"/>
        <v>45</v>
      </c>
      <c r="O35" s="282">
        <f t="shared" si="130"/>
        <v>45.7</v>
      </c>
      <c r="P35" s="283">
        <f t="shared" si="130"/>
        <v>46.4</v>
      </c>
      <c r="Q35" s="282">
        <f t="shared" si="130"/>
        <v>47.1</v>
      </c>
      <c r="R35" s="282">
        <f t="shared" si="130"/>
        <v>47.7</v>
      </c>
      <c r="S35" s="283">
        <f t="shared" si="130"/>
        <v>48.4</v>
      </c>
      <c r="T35" s="282">
        <f t="shared" si="130"/>
        <v>49.1</v>
      </c>
      <c r="U35" s="282">
        <f t="shared" si="130"/>
        <v>49.8</v>
      </c>
      <c r="V35" s="2"/>
      <c r="W35" s="283">
        <v>72.0</v>
      </c>
      <c r="X35" s="282">
        <f t="shared" ref="X35:AE35" si="131">ROUND(AVERAGE($W35/(1.0278-0.0278*X$2),$W35*X$2^0.1),1)</f>
        <v>75.6</v>
      </c>
      <c r="Y35" s="282">
        <f t="shared" si="131"/>
        <v>78.3</v>
      </c>
      <c r="Z35" s="282">
        <f t="shared" si="131"/>
        <v>80.6</v>
      </c>
      <c r="AA35" s="283">
        <f t="shared" si="131"/>
        <v>82.8</v>
      </c>
      <c r="AB35" s="282">
        <f t="shared" si="131"/>
        <v>84.9</v>
      </c>
      <c r="AC35" s="282">
        <f t="shared" si="131"/>
        <v>86.9</v>
      </c>
      <c r="AD35" s="283">
        <f t="shared" si="131"/>
        <v>89</v>
      </c>
      <c r="AE35" s="282">
        <f t="shared" si="131"/>
        <v>91.1</v>
      </c>
      <c r="AF35" s="283">
        <f t="shared" ref="AF35:AP35" si="132">ROUND(AVERAGE($W35*(1+0.0333*K$2),$W35*K$2^0.1),1)</f>
        <v>93.3</v>
      </c>
      <c r="AG35" s="282">
        <f t="shared" si="132"/>
        <v>94.9</v>
      </c>
      <c r="AH35" s="283">
        <f t="shared" si="132"/>
        <v>96.5</v>
      </c>
      <c r="AI35" s="282">
        <f t="shared" si="132"/>
        <v>98.1</v>
      </c>
      <c r="AJ35" s="282">
        <f t="shared" si="132"/>
        <v>99.7</v>
      </c>
      <c r="AK35" s="283">
        <f t="shared" si="132"/>
        <v>101.2</v>
      </c>
      <c r="AL35" s="282">
        <f t="shared" si="132"/>
        <v>102.7</v>
      </c>
      <c r="AM35" s="282">
        <f t="shared" si="132"/>
        <v>104.2</v>
      </c>
      <c r="AN35" s="283">
        <f t="shared" si="132"/>
        <v>105.6</v>
      </c>
      <c r="AO35" s="282">
        <f t="shared" si="132"/>
        <v>107.1</v>
      </c>
      <c r="AP35" s="282">
        <f t="shared" si="132"/>
        <v>108.6</v>
      </c>
    </row>
    <row r="36" ht="14.25" customHeight="1">
      <c r="A36" s="2"/>
      <c r="B36" s="283">
        <v>34.0</v>
      </c>
      <c r="C36" s="282">
        <f t="shared" ref="C36:J36" si="133">ROUND(AVERAGE($B36/(1.0278-0.0278*C$2),$B36*C$2^0.1),1)</f>
        <v>35.7</v>
      </c>
      <c r="D36" s="282">
        <f t="shared" si="133"/>
        <v>37</v>
      </c>
      <c r="E36" s="282">
        <f t="shared" si="133"/>
        <v>38.1</v>
      </c>
      <c r="F36" s="283">
        <f t="shared" si="133"/>
        <v>39.1</v>
      </c>
      <c r="G36" s="282">
        <f t="shared" si="133"/>
        <v>40.1</v>
      </c>
      <c r="H36" s="282">
        <f t="shared" si="133"/>
        <v>41.1</v>
      </c>
      <c r="I36" s="283">
        <f t="shared" si="133"/>
        <v>42</v>
      </c>
      <c r="J36" s="282">
        <f t="shared" si="133"/>
        <v>43</v>
      </c>
      <c r="K36" s="283">
        <f t="shared" ref="K36:U36" si="134">ROUND(AVERAGE($B36*(1+0.0333*K$2),$B36*K$2^0.1),1)</f>
        <v>44.1</v>
      </c>
      <c r="L36" s="282">
        <f t="shared" si="134"/>
        <v>44.8</v>
      </c>
      <c r="M36" s="283">
        <f t="shared" si="134"/>
        <v>45.6</v>
      </c>
      <c r="N36" s="282">
        <f t="shared" si="134"/>
        <v>46.3</v>
      </c>
      <c r="O36" s="282">
        <f t="shared" si="134"/>
        <v>47.1</v>
      </c>
      <c r="P36" s="283">
        <f t="shared" si="134"/>
        <v>47.8</v>
      </c>
      <c r="Q36" s="282">
        <f t="shared" si="134"/>
        <v>48.5</v>
      </c>
      <c r="R36" s="282">
        <f t="shared" si="134"/>
        <v>49.2</v>
      </c>
      <c r="S36" s="283">
        <f t="shared" si="134"/>
        <v>49.9</v>
      </c>
      <c r="T36" s="282">
        <f t="shared" si="134"/>
        <v>50.6</v>
      </c>
      <c r="U36" s="282">
        <f t="shared" si="134"/>
        <v>51.3</v>
      </c>
      <c r="V36" s="2"/>
      <c r="W36" s="283">
        <v>73.0</v>
      </c>
      <c r="X36" s="282">
        <f t="shared" ref="X36:AE36" si="135">ROUND(AVERAGE($W36/(1.0278-0.0278*X$2),$W36*X$2^0.1),1)</f>
        <v>76.7</v>
      </c>
      <c r="Y36" s="282">
        <f t="shared" si="135"/>
        <v>79.4</v>
      </c>
      <c r="Z36" s="282">
        <f t="shared" si="135"/>
        <v>81.7</v>
      </c>
      <c r="AA36" s="283">
        <f t="shared" si="135"/>
        <v>83.9</v>
      </c>
      <c r="AB36" s="282">
        <f t="shared" si="135"/>
        <v>86.1</v>
      </c>
      <c r="AC36" s="282">
        <f t="shared" si="135"/>
        <v>88.1</v>
      </c>
      <c r="AD36" s="283">
        <f t="shared" si="135"/>
        <v>90.3</v>
      </c>
      <c r="AE36" s="282">
        <f t="shared" si="135"/>
        <v>92.4</v>
      </c>
      <c r="AF36" s="283">
        <f t="shared" ref="AF36:AP36" si="136">ROUND(AVERAGE($W36*(1+0.0333*K$2),$W36*K$2^0.1),1)</f>
        <v>94.6</v>
      </c>
      <c r="AG36" s="282">
        <f t="shared" si="136"/>
        <v>96.3</v>
      </c>
      <c r="AH36" s="283">
        <f t="shared" si="136"/>
        <v>97.9</v>
      </c>
      <c r="AI36" s="282">
        <f t="shared" si="136"/>
        <v>99.5</v>
      </c>
      <c r="AJ36" s="282">
        <f t="shared" si="136"/>
        <v>101</v>
      </c>
      <c r="AK36" s="283">
        <f t="shared" si="136"/>
        <v>102.6</v>
      </c>
      <c r="AL36" s="282">
        <f t="shared" si="136"/>
        <v>104.1</v>
      </c>
      <c r="AM36" s="282">
        <f t="shared" si="136"/>
        <v>105.6</v>
      </c>
      <c r="AN36" s="283">
        <f t="shared" si="136"/>
        <v>107.1</v>
      </c>
      <c r="AO36" s="282">
        <f t="shared" si="136"/>
        <v>108.6</v>
      </c>
      <c r="AP36" s="282">
        <f t="shared" si="136"/>
        <v>110.1</v>
      </c>
    </row>
    <row r="37" ht="14.25" customHeight="1">
      <c r="A37" s="2"/>
      <c r="B37" s="283">
        <v>35.0</v>
      </c>
      <c r="C37" s="282">
        <f t="shared" ref="C37:J37" si="137">ROUND(AVERAGE($B37/(1.0278-0.0278*C$2),$B37*C$2^0.1),1)</f>
        <v>36.8</v>
      </c>
      <c r="D37" s="282">
        <f t="shared" si="137"/>
        <v>38.1</v>
      </c>
      <c r="E37" s="282">
        <f t="shared" si="137"/>
        <v>39.2</v>
      </c>
      <c r="F37" s="283">
        <f t="shared" si="137"/>
        <v>40.2</v>
      </c>
      <c r="G37" s="282">
        <f t="shared" si="137"/>
        <v>41.3</v>
      </c>
      <c r="H37" s="282">
        <f t="shared" si="137"/>
        <v>42.3</v>
      </c>
      <c r="I37" s="283">
        <f t="shared" si="137"/>
        <v>43.3</v>
      </c>
      <c r="J37" s="282">
        <f t="shared" si="137"/>
        <v>44.3</v>
      </c>
      <c r="K37" s="283">
        <f t="shared" ref="K37:U37" si="138">ROUND(AVERAGE($B37*(1+0.0333*K$2),$B37*K$2^0.1),1)</f>
        <v>45.4</v>
      </c>
      <c r="L37" s="282">
        <f t="shared" si="138"/>
        <v>46.2</v>
      </c>
      <c r="M37" s="283">
        <f t="shared" si="138"/>
        <v>46.9</v>
      </c>
      <c r="N37" s="282">
        <f t="shared" si="138"/>
        <v>47.7</v>
      </c>
      <c r="O37" s="282">
        <f t="shared" si="138"/>
        <v>48.4</v>
      </c>
      <c r="P37" s="283">
        <f t="shared" si="138"/>
        <v>49.2</v>
      </c>
      <c r="Q37" s="282">
        <f t="shared" si="138"/>
        <v>49.9</v>
      </c>
      <c r="R37" s="282">
        <f t="shared" si="138"/>
        <v>50.6</v>
      </c>
      <c r="S37" s="283">
        <f t="shared" si="138"/>
        <v>51.4</v>
      </c>
      <c r="T37" s="282">
        <f t="shared" si="138"/>
        <v>52.1</v>
      </c>
      <c r="U37" s="282">
        <f t="shared" si="138"/>
        <v>52.8</v>
      </c>
      <c r="V37" s="2"/>
      <c r="W37" s="283">
        <v>74.0</v>
      </c>
      <c r="X37" s="282">
        <f t="shared" ref="X37:AE37" si="139">ROUND(AVERAGE($W37/(1.0278-0.0278*X$2),$W37*X$2^0.1),1)</f>
        <v>77.7</v>
      </c>
      <c r="Y37" s="282">
        <f t="shared" si="139"/>
        <v>80.5</v>
      </c>
      <c r="Z37" s="282">
        <f t="shared" si="139"/>
        <v>82.9</v>
      </c>
      <c r="AA37" s="283">
        <f t="shared" si="139"/>
        <v>85.1</v>
      </c>
      <c r="AB37" s="282">
        <f t="shared" si="139"/>
        <v>87.2</v>
      </c>
      <c r="AC37" s="282">
        <f t="shared" si="139"/>
        <v>89.4</v>
      </c>
      <c r="AD37" s="283">
        <f t="shared" si="139"/>
        <v>91.5</v>
      </c>
      <c r="AE37" s="282">
        <f t="shared" si="139"/>
        <v>93.7</v>
      </c>
      <c r="AF37" s="283">
        <f t="shared" ref="AF37:AP37" si="140">ROUND(AVERAGE($W37*(1+0.0333*K$2),$W37*K$2^0.1),1)</f>
        <v>95.9</v>
      </c>
      <c r="AG37" s="282">
        <f t="shared" si="140"/>
        <v>97.6</v>
      </c>
      <c r="AH37" s="283">
        <f t="shared" si="140"/>
        <v>99.2</v>
      </c>
      <c r="AI37" s="282">
        <f t="shared" si="140"/>
        <v>100.8</v>
      </c>
      <c r="AJ37" s="282">
        <f t="shared" si="140"/>
        <v>102.4</v>
      </c>
      <c r="AK37" s="283">
        <f t="shared" si="140"/>
        <v>104</v>
      </c>
      <c r="AL37" s="282">
        <f t="shared" si="140"/>
        <v>105.5</v>
      </c>
      <c r="AM37" s="282">
        <f t="shared" si="140"/>
        <v>107.1</v>
      </c>
      <c r="AN37" s="283">
        <f t="shared" si="140"/>
        <v>108.6</v>
      </c>
      <c r="AO37" s="282">
        <f t="shared" si="140"/>
        <v>110.1</v>
      </c>
      <c r="AP37" s="282">
        <f t="shared" si="140"/>
        <v>111.6</v>
      </c>
    </row>
    <row r="38" ht="14.25" customHeight="1">
      <c r="A38" s="2"/>
      <c r="B38" s="283">
        <v>36.0</v>
      </c>
      <c r="C38" s="282">
        <f t="shared" ref="C38:J38" si="141">ROUND(AVERAGE($B38/(1.0278-0.0278*C$2),$B38*C$2^0.1),1)</f>
        <v>37.8</v>
      </c>
      <c r="D38" s="282">
        <f t="shared" si="141"/>
        <v>39.1</v>
      </c>
      <c r="E38" s="282">
        <f t="shared" si="141"/>
        <v>40.3</v>
      </c>
      <c r="F38" s="283">
        <f t="shared" si="141"/>
        <v>41.4</v>
      </c>
      <c r="G38" s="282">
        <f t="shared" si="141"/>
        <v>42.4</v>
      </c>
      <c r="H38" s="282">
        <f t="shared" si="141"/>
        <v>43.5</v>
      </c>
      <c r="I38" s="283">
        <f t="shared" si="141"/>
        <v>44.5</v>
      </c>
      <c r="J38" s="282">
        <f t="shared" si="141"/>
        <v>45.6</v>
      </c>
      <c r="K38" s="283">
        <f t="shared" ref="K38:U38" si="142">ROUND(AVERAGE($B38*(1+0.0333*K$2),$B38*K$2^0.1),1)</f>
        <v>46.7</v>
      </c>
      <c r="L38" s="282">
        <f t="shared" si="142"/>
        <v>47.5</v>
      </c>
      <c r="M38" s="283">
        <f t="shared" si="142"/>
        <v>48.3</v>
      </c>
      <c r="N38" s="282">
        <f t="shared" si="142"/>
        <v>49.1</v>
      </c>
      <c r="O38" s="282">
        <f t="shared" si="142"/>
        <v>49.8</v>
      </c>
      <c r="P38" s="283">
        <f t="shared" si="142"/>
        <v>50.6</v>
      </c>
      <c r="Q38" s="282">
        <f t="shared" si="142"/>
        <v>51.3</v>
      </c>
      <c r="R38" s="282">
        <f t="shared" si="142"/>
        <v>52.1</v>
      </c>
      <c r="S38" s="283">
        <f t="shared" si="142"/>
        <v>52.8</v>
      </c>
      <c r="T38" s="282">
        <f t="shared" si="142"/>
        <v>53.6</v>
      </c>
      <c r="U38" s="282">
        <f t="shared" si="142"/>
        <v>54.3</v>
      </c>
      <c r="V38" s="2"/>
      <c r="W38" s="283">
        <v>75.0</v>
      </c>
      <c r="X38" s="282">
        <f t="shared" ref="X38:AE38" si="143">ROUND(AVERAGE($W38/(1.0278-0.0278*X$2),$W38*X$2^0.1),1)</f>
        <v>78.8</v>
      </c>
      <c r="Y38" s="282">
        <f t="shared" si="143"/>
        <v>81.6</v>
      </c>
      <c r="Z38" s="282">
        <f t="shared" si="143"/>
        <v>84</v>
      </c>
      <c r="AA38" s="283">
        <f t="shared" si="143"/>
        <v>86.2</v>
      </c>
      <c r="AB38" s="282">
        <f t="shared" si="143"/>
        <v>88.4</v>
      </c>
      <c r="AC38" s="282">
        <f t="shared" si="143"/>
        <v>90.6</v>
      </c>
      <c r="AD38" s="283">
        <f t="shared" si="143"/>
        <v>92.7</v>
      </c>
      <c r="AE38" s="282">
        <f t="shared" si="143"/>
        <v>94.9</v>
      </c>
      <c r="AF38" s="283">
        <f t="shared" ref="AF38:AP38" si="144">ROUND(AVERAGE($W38*(1+0.0333*K$2),$W38*K$2^0.1),1)</f>
        <v>97.2</v>
      </c>
      <c r="AG38" s="282">
        <f t="shared" si="144"/>
        <v>98.9</v>
      </c>
      <c r="AH38" s="283">
        <f t="shared" si="144"/>
        <v>100.6</v>
      </c>
      <c r="AI38" s="282">
        <f t="shared" si="144"/>
        <v>102.2</v>
      </c>
      <c r="AJ38" s="282">
        <f t="shared" si="144"/>
        <v>103.8</v>
      </c>
      <c r="AK38" s="283">
        <f t="shared" si="144"/>
        <v>105.4</v>
      </c>
      <c r="AL38" s="282">
        <f t="shared" si="144"/>
        <v>107</v>
      </c>
      <c r="AM38" s="282">
        <f t="shared" si="144"/>
        <v>108.5</v>
      </c>
      <c r="AN38" s="283">
        <f t="shared" si="144"/>
        <v>110</v>
      </c>
      <c r="AO38" s="282">
        <f t="shared" si="144"/>
        <v>111.6</v>
      </c>
      <c r="AP38" s="282">
        <f t="shared" si="144"/>
        <v>113.1</v>
      </c>
    </row>
    <row r="39" ht="14.25" customHeight="1">
      <c r="A39" s="2"/>
      <c r="B39" s="283">
        <v>37.0</v>
      </c>
      <c r="C39" s="282">
        <f t="shared" ref="C39:J39" si="145">ROUND(AVERAGE($B39/(1.0278-0.0278*C$2),$B39*C$2^0.1),1)</f>
        <v>38.9</v>
      </c>
      <c r="D39" s="282">
        <f t="shared" si="145"/>
        <v>40.2</v>
      </c>
      <c r="E39" s="282">
        <f t="shared" si="145"/>
        <v>41.4</v>
      </c>
      <c r="F39" s="283">
        <f t="shared" si="145"/>
        <v>42.5</v>
      </c>
      <c r="G39" s="282">
        <f t="shared" si="145"/>
        <v>43.6</v>
      </c>
      <c r="H39" s="282">
        <f t="shared" si="145"/>
        <v>44.7</v>
      </c>
      <c r="I39" s="283">
        <f t="shared" si="145"/>
        <v>45.7</v>
      </c>
      <c r="J39" s="282">
        <f t="shared" si="145"/>
        <v>46.8</v>
      </c>
      <c r="K39" s="283">
        <f t="shared" ref="K39:U39" si="146">ROUND(AVERAGE($B39*(1+0.0333*K$2),$B39*K$2^0.1),1)</f>
        <v>48</v>
      </c>
      <c r="L39" s="282">
        <f t="shared" si="146"/>
        <v>48.8</v>
      </c>
      <c r="M39" s="283">
        <f t="shared" si="146"/>
        <v>49.6</v>
      </c>
      <c r="N39" s="282">
        <f t="shared" si="146"/>
        <v>50.4</v>
      </c>
      <c r="O39" s="282">
        <f t="shared" si="146"/>
        <v>51.2</v>
      </c>
      <c r="P39" s="283">
        <f t="shared" si="146"/>
        <v>52</v>
      </c>
      <c r="Q39" s="282">
        <f t="shared" si="146"/>
        <v>52.8</v>
      </c>
      <c r="R39" s="282">
        <f t="shared" si="146"/>
        <v>53.5</v>
      </c>
      <c r="S39" s="283">
        <f t="shared" si="146"/>
        <v>54.3</v>
      </c>
      <c r="T39" s="282">
        <f t="shared" si="146"/>
        <v>55</v>
      </c>
      <c r="U39" s="282">
        <f t="shared" si="146"/>
        <v>55.8</v>
      </c>
      <c r="V39" s="2"/>
      <c r="W39" s="283">
        <v>76.0</v>
      </c>
      <c r="X39" s="282">
        <f t="shared" ref="X39:AE39" si="147">ROUND(AVERAGE($W39/(1.0278-0.0278*X$2),$W39*X$2^0.1),1)</f>
        <v>79.8</v>
      </c>
      <c r="Y39" s="282">
        <f t="shared" si="147"/>
        <v>82.6</v>
      </c>
      <c r="Z39" s="282">
        <f t="shared" si="147"/>
        <v>85.1</v>
      </c>
      <c r="AA39" s="283">
        <f t="shared" si="147"/>
        <v>87.4</v>
      </c>
      <c r="AB39" s="282">
        <f t="shared" si="147"/>
        <v>89.6</v>
      </c>
      <c r="AC39" s="282">
        <f t="shared" si="147"/>
        <v>91.8</v>
      </c>
      <c r="AD39" s="283">
        <f t="shared" si="147"/>
        <v>94</v>
      </c>
      <c r="AE39" s="282">
        <f t="shared" si="147"/>
        <v>96.2</v>
      </c>
      <c r="AF39" s="283">
        <f t="shared" ref="AF39:AP39" si="148">ROUND(AVERAGE($W39*(1+0.0333*K$2),$W39*K$2^0.1),1)</f>
        <v>98.5</v>
      </c>
      <c r="AG39" s="282">
        <f t="shared" si="148"/>
        <v>100.2</v>
      </c>
      <c r="AH39" s="283">
        <f t="shared" si="148"/>
        <v>101.9</v>
      </c>
      <c r="AI39" s="282">
        <f t="shared" si="148"/>
        <v>103.6</v>
      </c>
      <c r="AJ39" s="282">
        <f t="shared" si="148"/>
        <v>105.2</v>
      </c>
      <c r="AK39" s="283">
        <f t="shared" si="148"/>
        <v>106.8</v>
      </c>
      <c r="AL39" s="282">
        <f t="shared" si="148"/>
        <v>108.4</v>
      </c>
      <c r="AM39" s="282">
        <f t="shared" si="148"/>
        <v>110</v>
      </c>
      <c r="AN39" s="283">
        <f t="shared" si="148"/>
        <v>111.5</v>
      </c>
      <c r="AO39" s="282">
        <f t="shared" si="148"/>
        <v>113.1</v>
      </c>
      <c r="AP39" s="282">
        <f t="shared" si="148"/>
        <v>114.6</v>
      </c>
    </row>
    <row r="40" ht="14.25" customHeight="1">
      <c r="A40" s="2"/>
      <c r="B40" s="283">
        <v>38.0</v>
      </c>
      <c r="C40" s="282">
        <f t="shared" ref="C40:J40" si="149">ROUND(AVERAGE($B40/(1.0278-0.0278*C$2),$B40*C$2^0.1),1)</f>
        <v>39.9</v>
      </c>
      <c r="D40" s="282">
        <f t="shared" si="149"/>
        <v>41.3</v>
      </c>
      <c r="E40" s="282">
        <f t="shared" si="149"/>
        <v>42.6</v>
      </c>
      <c r="F40" s="283">
        <f t="shared" si="149"/>
        <v>43.7</v>
      </c>
      <c r="G40" s="282">
        <f t="shared" si="149"/>
        <v>44.8</v>
      </c>
      <c r="H40" s="282">
        <f t="shared" si="149"/>
        <v>45.9</v>
      </c>
      <c r="I40" s="283">
        <f t="shared" si="149"/>
        <v>47</v>
      </c>
      <c r="J40" s="282">
        <f t="shared" si="149"/>
        <v>48.1</v>
      </c>
      <c r="K40" s="283">
        <f t="shared" ref="K40:U40" si="150">ROUND(AVERAGE($B40*(1+0.0333*K$2),$B40*K$2^0.1),1)</f>
        <v>49.2</v>
      </c>
      <c r="L40" s="282">
        <f t="shared" si="150"/>
        <v>50.1</v>
      </c>
      <c r="M40" s="283">
        <f t="shared" si="150"/>
        <v>51</v>
      </c>
      <c r="N40" s="282">
        <f t="shared" si="150"/>
        <v>51.8</v>
      </c>
      <c r="O40" s="282">
        <f t="shared" si="150"/>
        <v>52.6</v>
      </c>
      <c r="P40" s="283">
        <f t="shared" si="150"/>
        <v>53.4</v>
      </c>
      <c r="Q40" s="282">
        <f t="shared" si="150"/>
        <v>54.2</v>
      </c>
      <c r="R40" s="282">
        <f t="shared" si="150"/>
        <v>55</v>
      </c>
      <c r="S40" s="283">
        <f t="shared" si="150"/>
        <v>55.8</v>
      </c>
      <c r="T40" s="282">
        <f t="shared" si="150"/>
        <v>56.5</v>
      </c>
      <c r="U40" s="282">
        <f t="shared" si="150"/>
        <v>57.3</v>
      </c>
      <c r="V40" s="2"/>
      <c r="W40" s="283">
        <v>77.0</v>
      </c>
      <c r="X40" s="282">
        <f t="shared" ref="X40:AE40" si="151">ROUND(AVERAGE($W40/(1.0278-0.0278*X$2),$W40*X$2^0.1),1)</f>
        <v>80.9</v>
      </c>
      <c r="Y40" s="282">
        <f t="shared" si="151"/>
        <v>83.7</v>
      </c>
      <c r="Z40" s="282">
        <f t="shared" si="151"/>
        <v>86.2</v>
      </c>
      <c r="AA40" s="283">
        <f t="shared" si="151"/>
        <v>88.5</v>
      </c>
      <c r="AB40" s="282">
        <f t="shared" si="151"/>
        <v>90.8</v>
      </c>
      <c r="AC40" s="282">
        <f t="shared" si="151"/>
        <v>93</v>
      </c>
      <c r="AD40" s="283">
        <f t="shared" si="151"/>
        <v>95.2</v>
      </c>
      <c r="AE40" s="282">
        <f t="shared" si="151"/>
        <v>97.5</v>
      </c>
      <c r="AF40" s="283">
        <f t="shared" ref="AF40:AP40" si="152">ROUND(AVERAGE($W40*(1+0.0333*K$2),$W40*K$2^0.1),1)</f>
        <v>99.8</v>
      </c>
      <c r="AG40" s="282">
        <f t="shared" si="152"/>
        <v>101.5</v>
      </c>
      <c r="AH40" s="283">
        <f t="shared" si="152"/>
        <v>103.2</v>
      </c>
      <c r="AI40" s="282">
        <f t="shared" si="152"/>
        <v>104.9</v>
      </c>
      <c r="AJ40" s="282">
        <f t="shared" si="152"/>
        <v>106.6</v>
      </c>
      <c r="AK40" s="283">
        <f t="shared" si="152"/>
        <v>108.2</v>
      </c>
      <c r="AL40" s="282">
        <f t="shared" si="152"/>
        <v>109.8</v>
      </c>
      <c r="AM40" s="282">
        <f t="shared" si="152"/>
        <v>111.4</v>
      </c>
      <c r="AN40" s="283">
        <f t="shared" si="152"/>
        <v>113</v>
      </c>
      <c r="AO40" s="282">
        <f t="shared" si="152"/>
        <v>114.5</v>
      </c>
      <c r="AP40" s="282">
        <f t="shared" si="152"/>
        <v>116.1</v>
      </c>
    </row>
    <row r="41" ht="14.25" customHeight="1">
      <c r="A41" s="2"/>
      <c r="B41" s="283">
        <v>39.0</v>
      </c>
      <c r="C41" s="282">
        <f t="shared" ref="C41:J41" si="153">ROUND(AVERAGE($B41/(1.0278-0.0278*C$2),$B41*C$2^0.1),1)</f>
        <v>41</v>
      </c>
      <c r="D41" s="282">
        <f t="shared" si="153"/>
        <v>42.4</v>
      </c>
      <c r="E41" s="282">
        <f t="shared" si="153"/>
        <v>43.7</v>
      </c>
      <c r="F41" s="283">
        <f t="shared" si="153"/>
        <v>44.8</v>
      </c>
      <c r="G41" s="282">
        <f t="shared" si="153"/>
        <v>46</v>
      </c>
      <c r="H41" s="282">
        <f t="shared" si="153"/>
        <v>47.1</v>
      </c>
      <c r="I41" s="283">
        <f t="shared" si="153"/>
        <v>48.2</v>
      </c>
      <c r="J41" s="282">
        <f t="shared" si="153"/>
        <v>49.4</v>
      </c>
      <c r="K41" s="283">
        <f t="shared" ref="K41:U41" si="154">ROUND(AVERAGE($B41*(1+0.0333*K$2),$B41*K$2^0.1),1)</f>
        <v>50.5</v>
      </c>
      <c r="L41" s="282">
        <f t="shared" si="154"/>
        <v>51.4</v>
      </c>
      <c r="M41" s="283">
        <f t="shared" si="154"/>
        <v>52.3</v>
      </c>
      <c r="N41" s="282">
        <f t="shared" si="154"/>
        <v>53.1</v>
      </c>
      <c r="O41" s="282">
        <f t="shared" si="154"/>
        <v>54</v>
      </c>
      <c r="P41" s="283">
        <f t="shared" si="154"/>
        <v>54.8</v>
      </c>
      <c r="Q41" s="282">
        <f t="shared" si="154"/>
        <v>55.6</v>
      </c>
      <c r="R41" s="282">
        <f t="shared" si="154"/>
        <v>56.4</v>
      </c>
      <c r="S41" s="283">
        <f t="shared" si="154"/>
        <v>57.2</v>
      </c>
      <c r="T41" s="282">
        <f t="shared" si="154"/>
        <v>58</v>
      </c>
      <c r="U41" s="282">
        <f t="shared" si="154"/>
        <v>58.8</v>
      </c>
      <c r="V41" s="2"/>
      <c r="W41" s="283">
        <v>78.0</v>
      </c>
      <c r="X41" s="282">
        <f t="shared" ref="X41:AE41" si="155">ROUND(AVERAGE($W41/(1.0278-0.0278*X$2),$W41*X$2^0.1),1)</f>
        <v>81.9</v>
      </c>
      <c r="Y41" s="282">
        <f t="shared" si="155"/>
        <v>84.8</v>
      </c>
      <c r="Z41" s="282">
        <f t="shared" si="155"/>
        <v>87.3</v>
      </c>
      <c r="AA41" s="283">
        <f t="shared" si="155"/>
        <v>89.7</v>
      </c>
      <c r="AB41" s="282">
        <f t="shared" si="155"/>
        <v>91.9</v>
      </c>
      <c r="AC41" s="282">
        <f t="shared" si="155"/>
        <v>94.2</v>
      </c>
      <c r="AD41" s="283">
        <f t="shared" si="155"/>
        <v>96.4</v>
      </c>
      <c r="AE41" s="282">
        <f t="shared" si="155"/>
        <v>98.7</v>
      </c>
      <c r="AF41" s="283">
        <f t="shared" ref="AF41:AP41" si="156">ROUND(AVERAGE($W41*(1+0.0333*K$2),$W41*K$2^0.1),1)</f>
        <v>101.1</v>
      </c>
      <c r="AG41" s="282">
        <f t="shared" si="156"/>
        <v>102.9</v>
      </c>
      <c r="AH41" s="283">
        <f t="shared" si="156"/>
        <v>104.6</v>
      </c>
      <c r="AI41" s="282">
        <f t="shared" si="156"/>
        <v>106.3</v>
      </c>
      <c r="AJ41" s="282">
        <f t="shared" si="156"/>
        <v>108</v>
      </c>
      <c r="AK41" s="283">
        <f t="shared" si="156"/>
        <v>109.6</v>
      </c>
      <c r="AL41" s="282">
        <f t="shared" si="156"/>
        <v>111.2</v>
      </c>
      <c r="AM41" s="282">
        <f t="shared" si="156"/>
        <v>112.9</v>
      </c>
      <c r="AN41" s="283">
        <f t="shared" si="156"/>
        <v>114.4</v>
      </c>
      <c r="AO41" s="282">
        <f t="shared" si="156"/>
        <v>116</v>
      </c>
      <c r="AP41" s="282">
        <f t="shared" si="156"/>
        <v>117.6</v>
      </c>
    </row>
    <row r="42" ht="14.25" customHeight="1">
      <c r="A42" s="2"/>
      <c r="B42" s="283">
        <v>40.0</v>
      </c>
      <c r="C42" s="282">
        <f t="shared" ref="C42:J42" si="157">ROUND(AVERAGE($B42/(1.0278-0.0278*C$2),$B42*C$2^0.1),1)</f>
        <v>42</v>
      </c>
      <c r="D42" s="282">
        <f t="shared" si="157"/>
        <v>43.5</v>
      </c>
      <c r="E42" s="282">
        <f t="shared" si="157"/>
        <v>44.8</v>
      </c>
      <c r="F42" s="283">
        <f t="shared" si="157"/>
        <v>46</v>
      </c>
      <c r="G42" s="282">
        <f t="shared" si="157"/>
        <v>47.2</v>
      </c>
      <c r="H42" s="282">
        <f t="shared" si="157"/>
        <v>48.3</v>
      </c>
      <c r="I42" s="283">
        <f t="shared" si="157"/>
        <v>49.5</v>
      </c>
      <c r="J42" s="282">
        <f t="shared" si="157"/>
        <v>50.6</v>
      </c>
      <c r="K42" s="283">
        <f t="shared" ref="K42:U42" si="158">ROUND(AVERAGE($B42*(1+0.0333*K$2),$B42*K$2^0.1),1)</f>
        <v>51.8</v>
      </c>
      <c r="L42" s="282">
        <f t="shared" si="158"/>
        <v>52.7</v>
      </c>
      <c r="M42" s="283">
        <f t="shared" si="158"/>
        <v>53.6</v>
      </c>
      <c r="N42" s="282">
        <f t="shared" si="158"/>
        <v>54.5</v>
      </c>
      <c r="O42" s="282">
        <f t="shared" si="158"/>
        <v>55.4</v>
      </c>
      <c r="P42" s="283">
        <f t="shared" si="158"/>
        <v>56.2</v>
      </c>
      <c r="Q42" s="282">
        <f t="shared" si="158"/>
        <v>57</v>
      </c>
      <c r="R42" s="282">
        <f t="shared" si="158"/>
        <v>57.9</v>
      </c>
      <c r="S42" s="283">
        <f t="shared" si="158"/>
        <v>58.7</v>
      </c>
      <c r="T42" s="282">
        <f t="shared" si="158"/>
        <v>59.5</v>
      </c>
      <c r="U42" s="282">
        <f t="shared" si="158"/>
        <v>60.3</v>
      </c>
      <c r="V42" s="2"/>
      <c r="W42" s="283">
        <v>79.0</v>
      </c>
      <c r="X42" s="282">
        <f t="shared" ref="X42:AE42" si="159">ROUND(AVERAGE($W42/(1.0278-0.0278*X$2),$W42*X$2^0.1),1)</f>
        <v>83</v>
      </c>
      <c r="Y42" s="282">
        <f t="shared" si="159"/>
        <v>85.9</v>
      </c>
      <c r="Z42" s="282">
        <f t="shared" si="159"/>
        <v>88.5</v>
      </c>
      <c r="AA42" s="283">
        <f t="shared" si="159"/>
        <v>90.8</v>
      </c>
      <c r="AB42" s="282">
        <f t="shared" si="159"/>
        <v>93.1</v>
      </c>
      <c r="AC42" s="282">
        <f t="shared" si="159"/>
        <v>95.4</v>
      </c>
      <c r="AD42" s="283">
        <f t="shared" si="159"/>
        <v>97.7</v>
      </c>
      <c r="AE42" s="282">
        <f t="shared" si="159"/>
        <v>100</v>
      </c>
      <c r="AF42" s="283">
        <f t="shared" ref="AF42:AP42" si="160">ROUND(AVERAGE($W42*(1+0.0333*K$2),$W42*K$2^0.1),1)</f>
        <v>102.4</v>
      </c>
      <c r="AG42" s="282">
        <f t="shared" si="160"/>
        <v>104.2</v>
      </c>
      <c r="AH42" s="283">
        <f t="shared" si="160"/>
        <v>105.9</v>
      </c>
      <c r="AI42" s="282">
        <f t="shared" si="160"/>
        <v>107.6</v>
      </c>
      <c r="AJ42" s="282">
        <f t="shared" si="160"/>
        <v>109.3</v>
      </c>
      <c r="AK42" s="283">
        <f t="shared" si="160"/>
        <v>111</v>
      </c>
      <c r="AL42" s="282">
        <f t="shared" si="160"/>
        <v>112.7</v>
      </c>
      <c r="AM42" s="282">
        <f t="shared" si="160"/>
        <v>114.3</v>
      </c>
      <c r="AN42" s="283">
        <f t="shared" si="160"/>
        <v>115.9</v>
      </c>
      <c r="AO42" s="282">
        <f t="shared" si="160"/>
        <v>117.5</v>
      </c>
      <c r="AP42" s="282">
        <f t="shared" si="160"/>
        <v>119.1</v>
      </c>
    </row>
    <row r="43" ht="12.75" customHeight="1">
      <c r="A43" s="2"/>
      <c r="B43" s="283">
        <v>41.0</v>
      </c>
      <c r="C43" s="282">
        <v>43.1</v>
      </c>
      <c r="D43" s="282">
        <v>44.6</v>
      </c>
      <c r="E43" s="282">
        <v>45.9</v>
      </c>
      <c r="F43" s="283">
        <v>47.1</v>
      </c>
      <c r="G43" s="282">
        <v>48.3</v>
      </c>
      <c r="H43" s="282">
        <v>49.5</v>
      </c>
      <c r="I43" s="283">
        <v>50.7</v>
      </c>
      <c r="J43" s="282">
        <v>51.9</v>
      </c>
      <c r="K43" s="283">
        <v>53.1</v>
      </c>
      <c r="L43" s="282">
        <v>54.1</v>
      </c>
      <c r="M43" s="283">
        <v>55.0</v>
      </c>
      <c r="N43" s="282">
        <v>55.9</v>
      </c>
      <c r="O43" s="282">
        <v>56.7</v>
      </c>
      <c r="P43" s="283">
        <v>57.6</v>
      </c>
      <c r="Q43" s="282">
        <v>58.5</v>
      </c>
      <c r="R43" s="282">
        <v>59.3</v>
      </c>
      <c r="S43" s="283">
        <v>60.2</v>
      </c>
      <c r="T43" s="282">
        <v>61.0</v>
      </c>
      <c r="U43" s="282">
        <v>61.8</v>
      </c>
      <c r="V43" s="2"/>
      <c r="W43" s="283">
        <v>80.0</v>
      </c>
      <c r="X43" s="282">
        <f t="shared" ref="X43:AE43" si="161">ROUND(AVERAGE($W43/(1.0278-0.0278*X$2),$W43*X$2^0.1),1)</f>
        <v>84</v>
      </c>
      <c r="Y43" s="282">
        <f t="shared" si="161"/>
        <v>87</v>
      </c>
      <c r="Z43" s="282">
        <f t="shared" si="161"/>
        <v>89.6</v>
      </c>
      <c r="AA43" s="283">
        <f t="shared" si="161"/>
        <v>92</v>
      </c>
      <c r="AB43" s="282">
        <f t="shared" si="161"/>
        <v>94.3</v>
      </c>
      <c r="AC43" s="282">
        <f t="shared" si="161"/>
        <v>96.6</v>
      </c>
      <c r="AD43" s="283">
        <f t="shared" si="161"/>
        <v>98.9</v>
      </c>
      <c r="AE43" s="282">
        <f t="shared" si="161"/>
        <v>101.3</v>
      </c>
      <c r="AF43" s="283">
        <f t="shared" ref="AF43:AP43" si="162">ROUND(AVERAGE($W43*(1+0.0333*K$2),$W43*K$2^0.1),1)</f>
        <v>103.7</v>
      </c>
      <c r="AG43" s="282">
        <f t="shared" si="162"/>
        <v>105.5</v>
      </c>
      <c r="AH43" s="283">
        <f t="shared" si="162"/>
        <v>107.3</v>
      </c>
      <c r="AI43" s="282">
        <f t="shared" si="162"/>
        <v>109</v>
      </c>
      <c r="AJ43" s="282">
        <f t="shared" si="162"/>
        <v>110.7</v>
      </c>
      <c r="AK43" s="283">
        <f t="shared" si="162"/>
        <v>112.4</v>
      </c>
      <c r="AL43" s="282">
        <f t="shared" si="162"/>
        <v>114.1</v>
      </c>
      <c r="AM43" s="282">
        <f t="shared" si="162"/>
        <v>115.7</v>
      </c>
      <c r="AN43" s="283">
        <f t="shared" si="162"/>
        <v>117.4</v>
      </c>
      <c r="AO43" s="282">
        <f t="shared" si="162"/>
        <v>119</v>
      </c>
      <c r="AP43" s="282">
        <f t="shared" si="162"/>
        <v>120.6</v>
      </c>
    </row>
    <row r="44" ht="12.75" customHeight="1">
      <c r="A44" s="2"/>
      <c r="B44" s="283">
        <v>42.0</v>
      </c>
      <c r="C44" s="282">
        <v>44.1</v>
      </c>
      <c r="D44" s="282">
        <v>45.7</v>
      </c>
      <c r="E44" s="282">
        <v>47.0</v>
      </c>
      <c r="F44" s="283">
        <v>48.3</v>
      </c>
      <c r="G44" s="282">
        <v>49.5</v>
      </c>
      <c r="H44" s="282">
        <v>50.7</v>
      </c>
      <c r="I44" s="283">
        <v>51.9</v>
      </c>
      <c r="J44" s="282">
        <v>53.2</v>
      </c>
      <c r="K44" s="283">
        <v>54.4</v>
      </c>
      <c r="L44" s="282">
        <v>55.4</v>
      </c>
      <c r="M44" s="283">
        <v>56.3</v>
      </c>
      <c r="N44" s="282">
        <v>57.2</v>
      </c>
      <c r="O44" s="282">
        <v>58.1</v>
      </c>
      <c r="P44" s="283">
        <v>59.0</v>
      </c>
      <c r="Q44" s="282">
        <v>59.9</v>
      </c>
      <c r="R44" s="282">
        <v>60.8</v>
      </c>
      <c r="S44" s="283">
        <v>61.6</v>
      </c>
      <c r="T44" s="282">
        <v>62.5</v>
      </c>
      <c r="U44" s="282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83">
        <v>43.0</v>
      </c>
      <c r="C45" s="282">
        <v>45.2</v>
      </c>
      <c r="D45" s="282">
        <v>46.8</v>
      </c>
      <c r="E45" s="282">
        <v>48.2</v>
      </c>
      <c r="F45" s="283">
        <v>49.4</v>
      </c>
      <c r="G45" s="282">
        <v>50.7</v>
      </c>
      <c r="H45" s="282">
        <v>51.9</v>
      </c>
      <c r="I45" s="283">
        <v>53.2</v>
      </c>
      <c r="J45" s="282">
        <v>54.4</v>
      </c>
      <c r="K45" s="283">
        <v>55.7</v>
      </c>
      <c r="L45" s="282">
        <v>56.7</v>
      </c>
      <c r="M45" s="283">
        <v>57.7</v>
      </c>
      <c r="N45" s="282">
        <v>58.6</v>
      </c>
      <c r="O45" s="282">
        <v>59.5</v>
      </c>
      <c r="P45" s="283">
        <v>60.4</v>
      </c>
      <c r="Q45" s="282">
        <v>61.3</v>
      </c>
      <c r="R45" s="282">
        <v>62.2</v>
      </c>
      <c r="S45" s="283">
        <v>63.1</v>
      </c>
      <c r="T45" s="282">
        <v>64.0</v>
      </c>
      <c r="U45" s="282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83">
        <v>44.0</v>
      </c>
      <c r="C46" s="282">
        <v>46.2</v>
      </c>
      <c r="D46" s="282">
        <v>47.8</v>
      </c>
      <c r="E46" s="282">
        <v>49.3</v>
      </c>
      <c r="F46" s="283">
        <v>50.6</v>
      </c>
      <c r="G46" s="282">
        <v>51.9</v>
      </c>
      <c r="H46" s="282">
        <v>53.1</v>
      </c>
      <c r="I46" s="283">
        <v>54.4</v>
      </c>
      <c r="J46" s="282">
        <v>55.7</v>
      </c>
      <c r="K46" s="283">
        <v>57.0</v>
      </c>
      <c r="L46" s="282">
        <v>58.0</v>
      </c>
      <c r="M46" s="283">
        <v>59.0</v>
      </c>
      <c r="N46" s="282">
        <v>60.0</v>
      </c>
      <c r="O46" s="282">
        <v>60.9</v>
      </c>
      <c r="P46" s="283">
        <v>61.8</v>
      </c>
      <c r="Q46" s="282">
        <v>62.8</v>
      </c>
      <c r="R46" s="282">
        <v>63.7</v>
      </c>
      <c r="S46" s="283">
        <v>64.6</v>
      </c>
      <c r="T46" s="282">
        <v>65.5</v>
      </c>
      <c r="U46" s="282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83">
        <v>45.0</v>
      </c>
      <c r="C47" s="282">
        <v>47.3</v>
      </c>
      <c r="D47" s="282">
        <v>48.9</v>
      </c>
      <c r="E47" s="282">
        <v>50.4</v>
      </c>
      <c r="F47" s="283">
        <v>51.7</v>
      </c>
      <c r="G47" s="282">
        <v>53.0</v>
      </c>
      <c r="H47" s="282">
        <v>54.3</v>
      </c>
      <c r="I47" s="283">
        <v>55.6</v>
      </c>
      <c r="J47" s="282">
        <v>57.0</v>
      </c>
      <c r="K47" s="283">
        <v>58.3</v>
      </c>
      <c r="L47" s="282">
        <v>59.3</v>
      </c>
      <c r="M47" s="283">
        <v>60.3</v>
      </c>
      <c r="N47" s="282">
        <v>61.3</v>
      </c>
      <c r="O47" s="282">
        <v>62.3</v>
      </c>
      <c r="P47" s="283">
        <v>63.2</v>
      </c>
      <c r="Q47" s="282">
        <v>64.2</v>
      </c>
      <c r="R47" s="282">
        <v>65.1</v>
      </c>
      <c r="S47" s="283">
        <v>66.0</v>
      </c>
      <c r="T47" s="282">
        <v>66.9</v>
      </c>
      <c r="U47" s="282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83">
        <v>46.0</v>
      </c>
      <c r="C48" s="282">
        <v>48.3</v>
      </c>
      <c r="D48" s="282">
        <v>50.0</v>
      </c>
      <c r="E48" s="282">
        <v>51.5</v>
      </c>
      <c r="F48" s="283">
        <v>52.9</v>
      </c>
      <c r="G48" s="282">
        <v>54.2</v>
      </c>
      <c r="H48" s="282">
        <v>55.5</v>
      </c>
      <c r="I48" s="283">
        <v>56.9</v>
      </c>
      <c r="J48" s="282">
        <v>58.2</v>
      </c>
      <c r="K48" s="283">
        <v>59.6</v>
      </c>
      <c r="L48" s="282">
        <v>60.7</v>
      </c>
      <c r="M48" s="283">
        <v>61.7</v>
      </c>
      <c r="N48" s="282">
        <v>62.7</v>
      </c>
      <c r="O48" s="282">
        <v>63.7</v>
      </c>
      <c r="P48" s="283">
        <v>64.6</v>
      </c>
      <c r="Q48" s="282">
        <v>65.6</v>
      </c>
      <c r="R48" s="282">
        <v>66.6</v>
      </c>
      <c r="S48" s="283">
        <v>67.5</v>
      </c>
      <c r="T48" s="282">
        <v>68.4</v>
      </c>
      <c r="U48" s="282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83">
        <v>47.0</v>
      </c>
      <c r="C49" s="282">
        <v>49.4</v>
      </c>
      <c r="D49" s="282">
        <v>51.1</v>
      </c>
      <c r="E49" s="282">
        <v>52.6</v>
      </c>
      <c r="F49" s="283">
        <v>54.0</v>
      </c>
      <c r="G49" s="282">
        <v>55.4</v>
      </c>
      <c r="H49" s="282">
        <v>56.8</v>
      </c>
      <c r="I49" s="283">
        <v>58.1</v>
      </c>
      <c r="J49" s="282">
        <v>59.5</v>
      </c>
      <c r="K49" s="283">
        <v>60.9</v>
      </c>
      <c r="L49" s="282">
        <v>62.0</v>
      </c>
      <c r="M49" s="283">
        <v>63.0</v>
      </c>
      <c r="N49" s="282">
        <v>64.0</v>
      </c>
      <c r="O49" s="282">
        <v>65.1</v>
      </c>
      <c r="P49" s="283">
        <v>66.0</v>
      </c>
      <c r="Q49" s="282">
        <v>67.0</v>
      </c>
      <c r="R49" s="282">
        <v>68.0</v>
      </c>
      <c r="S49" s="283">
        <v>69.0</v>
      </c>
      <c r="T49" s="282">
        <v>69.9</v>
      </c>
      <c r="U49" s="282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83">
        <v>48.0</v>
      </c>
      <c r="C50" s="282">
        <v>50.4</v>
      </c>
      <c r="D50" s="282">
        <v>52.2</v>
      </c>
      <c r="E50" s="282">
        <v>53.8</v>
      </c>
      <c r="F50" s="283">
        <v>55.2</v>
      </c>
      <c r="G50" s="282">
        <v>56.6</v>
      </c>
      <c r="H50" s="282">
        <v>58.0</v>
      </c>
      <c r="I50" s="283">
        <v>59.3</v>
      </c>
      <c r="J50" s="282">
        <v>60.8</v>
      </c>
      <c r="K50" s="283">
        <v>62.2</v>
      </c>
      <c r="L50" s="282">
        <v>63.3</v>
      </c>
      <c r="M50" s="283">
        <v>64.4</v>
      </c>
      <c r="N50" s="282">
        <v>65.4</v>
      </c>
      <c r="O50" s="282">
        <v>66.4</v>
      </c>
      <c r="P50" s="283">
        <v>67.5</v>
      </c>
      <c r="Q50" s="282">
        <v>68.5</v>
      </c>
      <c r="R50" s="282">
        <v>69.4</v>
      </c>
      <c r="S50" s="283">
        <v>70.4</v>
      </c>
      <c r="T50" s="282">
        <v>71.4</v>
      </c>
      <c r="U50" s="282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83">
        <v>49.0</v>
      </c>
      <c r="C51" s="282">
        <v>51.5</v>
      </c>
      <c r="D51" s="282">
        <v>53.3</v>
      </c>
      <c r="E51" s="282">
        <v>54.9</v>
      </c>
      <c r="F51" s="283">
        <v>56.3</v>
      </c>
      <c r="G51" s="282">
        <v>57.8</v>
      </c>
      <c r="H51" s="282">
        <v>59.2</v>
      </c>
      <c r="I51" s="283">
        <v>60.6</v>
      </c>
      <c r="J51" s="282">
        <v>62.0</v>
      </c>
      <c r="K51" s="283">
        <v>63.5</v>
      </c>
      <c r="L51" s="282">
        <v>64.6</v>
      </c>
      <c r="M51" s="283">
        <v>65.7</v>
      </c>
      <c r="N51" s="282">
        <v>66.8</v>
      </c>
      <c r="O51" s="282">
        <v>67.8</v>
      </c>
      <c r="P51" s="283">
        <v>68.9</v>
      </c>
      <c r="Q51" s="282">
        <v>69.9</v>
      </c>
      <c r="R51" s="282">
        <v>70.9</v>
      </c>
      <c r="S51" s="283">
        <v>71.9</v>
      </c>
      <c r="T51" s="282">
        <v>72.9</v>
      </c>
      <c r="U51" s="282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83">
        <v>50.0</v>
      </c>
      <c r="C52" s="282">
        <v>52.5</v>
      </c>
      <c r="D52" s="282">
        <v>54.4</v>
      </c>
      <c r="E52" s="282">
        <v>56.0</v>
      </c>
      <c r="F52" s="283">
        <v>57.5</v>
      </c>
      <c r="G52" s="282">
        <v>58.9</v>
      </c>
      <c r="H52" s="282">
        <v>60.4</v>
      </c>
      <c r="I52" s="283">
        <v>61.8</v>
      </c>
      <c r="J52" s="282">
        <v>63.3</v>
      </c>
      <c r="K52" s="283">
        <v>64.8</v>
      </c>
      <c r="L52" s="282">
        <v>65.9</v>
      </c>
      <c r="M52" s="283">
        <v>67.0</v>
      </c>
      <c r="N52" s="282">
        <v>68.1</v>
      </c>
      <c r="O52" s="282">
        <v>69.2</v>
      </c>
      <c r="P52" s="283">
        <v>70.3</v>
      </c>
      <c r="Q52" s="282">
        <v>71.3</v>
      </c>
      <c r="R52" s="282">
        <v>72.3</v>
      </c>
      <c r="S52" s="283">
        <v>73.4</v>
      </c>
      <c r="T52" s="282">
        <v>74.4</v>
      </c>
      <c r="U52" s="282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83">
        <v>51.0</v>
      </c>
      <c r="C53" s="282">
        <v>53.6</v>
      </c>
      <c r="D53" s="282">
        <v>55.5</v>
      </c>
      <c r="E53" s="282">
        <v>57.1</v>
      </c>
      <c r="F53" s="283">
        <v>58.6</v>
      </c>
      <c r="G53" s="282">
        <v>60.1</v>
      </c>
      <c r="H53" s="282">
        <v>61.6</v>
      </c>
      <c r="I53" s="283">
        <v>63.1</v>
      </c>
      <c r="J53" s="282">
        <v>64.6</v>
      </c>
      <c r="K53" s="283">
        <v>66.1</v>
      </c>
      <c r="L53" s="282">
        <v>67.3</v>
      </c>
      <c r="M53" s="283">
        <v>68.4</v>
      </c>
      <c r="N53" s="282">
        <v>69.5</v>
      </c>
      <c r="O53" s="282">
        <v>70.6</v>
      </c>
      <c r="P53" s="283">
        <v>71.7</v>
      </c>
      <c r="Q53" s="282">
        <v>72.7</v>
      </c>
      <c r="R53" s="282">
        <v>73.8</v>
      </c>
      <c r="S53" s="283">
        <v>74.8</v>
      </c>
      <c r="T53" s="282">
        <v>75.9</v>
      </c>
      <c r="U53" s="282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83">
        <v>52.0</v>
      </c>
      <c r="C54" s="282">
        <v>54.6</v>
      </c>
      <c r="D54" s="282">
        <v>56.5</v>
      </c>
      <c r="E54" s="282">
        <v>58.2</v>
      </c>
      <c r="F54" s="283">
        <v>59.8</v>
      </c>
      <c r="G54" s="282">
        <v>61.3</v>
      </c>
      <c r="H54" s="282">
        <v>62.8</v>
      </c>
      <c r="I54" s="283">
        <v>64.3</v>
      </c>
      <c r="J54" s="282">
        <v>65.8</v>
      </c>
      <c r="K54" s="283">
        <v>67.4</v>
      </c>
      <c r="L54" s="282">
        <v>68.6</v>
      </c>
      <c r="M54" s="283">
        <v>69.7</v>
      </c>
      <c r="N54" s="282">
        <v>70.9</v>
      </c>
      <c r="O54" s="282">
        <v>72.0</v>
      </c>
      <c r="P54" s="283">
        <v>73.1</v>
      </c>
      <c r="Q54" s="282">
        <v>74.2</v>
      </c>
      <c r="R54" s="282">
        <v>75.2</v>
      </c>
      <c r="S54" s="283">
        <v>76.3</v>
      </c>
      <c r="T54" s="282">
        <v>77.4</v>
      </c>
      <c r="U54" s="282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83">
        <v>53.0</v>
      </c>
      <c r="C55" s="282">
        <v>55.7</v>
      </c>
      <c r="D55" s="282">
        <v>57.6</v>
      </c>
      <c r="E55" s="282">
        <v>59.4</v>
      </c>
      <c r="F55" s="283">
        <v>60.9</v>
      </c>
      <c r="G55" s="282">
        <v>62.5</v>
      </c>
      <c r="H55" s="282">
        <v>64.0</v>
      </c>
      <c r="I55" s="283">
        <v>65.5</v>
      </c>
      <c r="J55" s="282">
        <v>67.1</v>
      </c>
      <c r="K55" s="283">
        <v>68.7</v>
      </c>
      <c r="L55" s="282">
        <v>69.9</v>
      </c>
      <c r="M55" s="283">
        <v>71.1</v>
      </c>
      <c r="N55" s="282">
        <v>72.2</v>
      </c>
      <c r="O55" s="282">
        <v>73.4</v>
      </c>
      <c r="P55" s="283">
        <v>74.5</v>
      </c>
      <c r="Q55" s="282">
        <v>75.6</v>
      </c>
      <c r="R55" s="282">
        <v>76.7</v>
      </c>
      <c r="S55" s="283">
        <v>77.8</v>
      </c>
      <c r="T55" s="282">
        <v>78.8</v>
      </c>
      <c r="U55" s="282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83">
        <v>54.0</v>
      </c>
      <c r="C56" s="282">
        <v>56.7</v>
      </c>
      <c r="D56" s="282">
        <v>58.7</v>
      </c>
      <c r="E56" s="282">
        <v>60.5</v>
      </c>
      <c r="F56" s="283">
        <v>62.1</v>
      </c>
      <c r="G56" s="282">
        <v>63.7</v>
      </c>
      <c r="H56" s="282">
        <v>65.2</v>
      </c>
      <c r="I56" s="283">
        <v>66.8</v>
      </c>
      <c r="J56" s="282">
        <v>68.4</v>
      </c>
      <c r="K56" s="283">
        <v>70.0</v>
      </c>
      <c r="L56" s="282">
        <v>71.2</v>
      </c>
      <c r="M56" s="283">
        <v>72.4</v>
      </c>
      <c r="N56" s="282">
        <v>73.6</v>
      </c>
      <c r="O56" s="282">
        <v>74.7</v>
      </c>
      <c r="P56" s="283">
        <v>75.9</v>
      </c>
      <c r="Q56" s="282">
        <v>77.0</v>
      </c>
      <c r="R56" s="282">
        <v>78.1</v>
      </c>
      <c r="S56" s="283">
        <v>79.2</v>
      </c>
      <c r="T56" s="282">
        <v>80.3</v>
      </c>
      <c r="U56" s="282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83">
        <v>55.0</v>
      </c>
      <c r="C57" s="282">
        <v>57.8</v>
      </c>
      <c r="D57" s="282">
        <v>59.8</v>
      </c>
      <c r="E57" s="282">
        <v>61.6</v>
      </c>
      <c r="F57" s="283">
        <v>63.2</v>
      </c>
      <c r="G57" s="282">
        <v>64.8</v>
      </c>
      <c r="H57" s="282">
        <v>66.4</v>
      </c>
      <c r="I57" s="283">
        <v>68.0</v>
      </c>
      <c r="J57" s="282">
        <v>69.6</v>
      </c>
      <c r="K57" s="283">
        <v>71.3</v>
      </c>
      <c r="L57" s="282">
        <v>72.5</v>
      </c>
      <c r="M57" s="283">
        <v>73.7</v>
      </c>
      <c r="N57" s="282">
        <v>74.9</v>
      </c>
      <c r="O57" s="282">
        <v>76.1</v>
      </c>
      <c r="P57" s="283">
        <v>77.3</v>
      </c>
      <c r="Q57" s="282">
        <v>78.4</v>
      </c>
      <c r="R57" s="282">
        <v>79.6</v>
      </c>
      <c r="S57" s="283">
        <v>80.7</v>
      </c>
      <c r="T57" s="282">
        <v>81.8</v>
      </c>
      <c r="U57" s="282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83">
        <v>56.0</v>
      </c>
      <c r="C58" s="282">
        <v>58.8</v>
      </c>
      <c r="D58" s="282">
        <v>60.9</v>
      </c>
      <c r="E58" s="282">
        <v>62.7</v>
      </c>
      <c r="F58" s="283">
        <v>64.4</v>
      </c>
      <c r="G58" s="282">
        <v>66.0</v>
      </c>
      <c r="H58" s="282">
        <v>67.6</v>
      </c>
      <c r="I58" s="283">
        <v>69.2</v>
      </c>
      <c r="J58" s="282">
        <v>70.9</v>
      </c>
      <c r="K58" s="283">
        <v>72.6</v>
      </c>
      <c r="L58" s="282">
        <v>73.8</v>
      </c>
      <c r="M58" s="283">
        <v>75.1</v>
      </c>
      <c r="N58" s="282">
        <v>76.3</v>
      </c>
      <c r="O58" s="282">
        <v>77.5</v>
      </c>
      <c r="P58" s="283">
        <v>78.7</v>
      </c>
      <c r="Q58" s="282">
        <v>79.9</v>
      </c>
      <c r="R58" s="282">
        <v>81.0</v>
      </c>
      <c r="S58" s="283">
        <v>82.2</v>
      </c>
      <c r="T58" s="282">
        <v>83.3</v>
      </c>
      <c r="U58" s="282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83">
        <v>57.0</v>
      </c>
      <c r="C59" s="282">
        <v>59.9</v>
      </c>
      <c r="D59" s="282">
        <v>62.0</v>
      </c>
      <c r="E59" s="282">
        <v>63.8</v>
      </c>
      <c r="F59" s="283">
        <v>65.5</v>
      </c>
      <c r="G59" s="282">
        <v>67.2</v>
      </c>
      <c r="H59" s="282">
        <v>68.8</v>
      </c>
      <c r="I59" s="283">
        <v>70.5</v>
      </c>
      <c r="J59" s="282">
        <v>72.2</v>
      </c>
      <c r="K59" s="283">
        <v>73.9</v>
      </c>
      <c r="L59" s="282">
        <v>75.2</v>
      </c>
      <c r="M59" s="283">
        <v>76.4</v>
      </c>
      <c r="N59" s="282">
        <v>77.7</v>
      </c>
      <c r="O59" s="282">
        <v>78.9</v>
      </c>
      <c r="P59" s="283">
        <v>80.1</v>
      </c>
      <c r="Q59" s="282">
        <v>81.3</v>
      </c>
      <c r="R59" s="282">
        <v>82.5</v>
      </c>
      <c r="S59" s="283">
        <v>83.6</v>
      </c>
      <c r="T59" s="282">
        <v>84.8</v>
      </c>
      <c r="U59" s="282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83">
        <v>58.0</v>
      </c>
      <c r="C60" s="282">
        <v>60.9</v>
      </c>
      <c r="D60" s="282">
        <v>63.1</v>
      </c>
      <c r="E60" s="282">
        <v>65.0</v>
      </c>
      <c r="F60" s="283">
        <v>66.7</v>
      </c>
      <c r="G60" s="282">
        <v>68.4</v>
      </c>
      <c r="H60" s="282">
        <v>70.0</v>
      </c>
      <c r="I60" s="283">
        <v>71.7</v>
      </c>
      <c r="J60" s="282">
        <v>73.4</v>
      </c>
      <c r="K60" s="283">
        <v>75.2</v>
      </c>
      <c r="L60" s="282">
        <v>76.5</v>
      </c>
      <c r="M60" s="283">
        <v>77.8</v>
      </c>
      <c r="N60" s="282">
        <v>79.0</v>
      </c>
      <c r="O60" s="282">
        <v>80.3</v>
      </c>
      <c r="P60" s="283">
        <v>81.5</v>
      </c>
      <c r="Q60" s="282">
        <v>82.7</v>
      </c>
      <c r="R60" s="282">
        <v>83.9</v>
      </c>
      <c r="S60" s="283">
        <v>85.1</v>
      </c>
      <c r="T60" s="282">
        <v>86.3</v>
      </c>
      <c r="U60" s="282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83">
        <v>59.0</v>
      </c>
      <c r="C61" s="282">
        <v>62.0</v>
      </c>
      <c r="D61" s="282">
        <v>64.2</v>
      </c>
      <c r="E61" s="282">
        <v>66.1</v>
      </c>
      <c r="F61" s="283">
        <v>67.8</v>
      </c>
      <c r="G61" s="282">
        <v>69.6</v>
      </c>
      <c r="H61" s="282">
        <v>71.2</v>
      </c>
      <c r="I61" s="283">
        <v>72.9</v>
      </c>
      <c r="J61" s="282">
        <v>74.7</v>
      </c>
      <c r="K61" s="283">
        <v>76.5</v>
      </c>
      <c r="L61" s="282">
        <v>77.8</v>
      </c>
      <c r="M61" s="283">
        <v>79.1</v>
      </c>
      <c r="N61" s="282">
        <v>80.4</v>
      </c>
      <c r="O61" s="282">
        <v>81.7</v>
      </c>
      <c r="P61" s="283">
        <v>82.9</v>
      </c>
      <c r="Q61" s="282">
        <v>84.1</v>
      </c>
      <c r="R61" s="282">
        <v>85.4</v>
      </c>
      <c r="S61" s="283">
        <v>86.6</v>
      </c>
      <c r="T61" s="282">
        <v>87.8</v>
      </c>
      <c r="U61" s="282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83">
        <v>60.0</v>
      </c>
      <c r="C62" s="282">
        <v>63.0</v>
      </c>
      <c r="D62" s="282">
        <v>65.2</v>
      </c>
      <c r="E62" s="282">
        <v>67.2</v>
      </c>
      <c r="F62" s="283">
        <v>69.0</v>
      </c>
      <c r="G62" s="282">
        <v>70.7</v>
      </c>
      <c r="H62" s="282">
        <v>72.5</v>
      </c>
      <c r="I62" s="283">
        <v>74.2</v>
      </c>
      <c r="J62" s="282">
        <v>76.0</v>
      </c>
      <c r="K62" s="283">
        <v>77.8</v>
      </c>
      <c r="L62" s="282">
        <v>79.1</v>
      </c>
      <c r="M62" s="283">
        <v>80.5</v>
      </c>
      <c r="N62" s="282">
        <v>81.8</v>
      </c>
      <c r="O62" s="282">
        <v>83.0</v>
      </c>
      <c r="P62" s="283">
        <v>84.3</v>
      </c>
      <c r="Q62" s="282">
        <v>85.6</v>
      </c>
      <c r="R62" s="282">
        <v>86.8</v>
      </c>
      <c r="S62" s="283">
        <v>88.0</v>
      </c>
      <c r="T62" s="282">
        <v>89.3</v>
      </c>
      <c r="U62" s="282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83">
        <v>61.0</v>
      </c>
      <c r="C63" s="282">
        <v>64.1</v>
      </c>
      <c r="D63" s="282">
        <v>66.3</v>
      </c>
      <c r="E63" s="282">
        <v>68.3</v>
      </c>
      <c r="F63" s="283">
        <v>70.1</v>
      </c>
      <c r="G63" s="282">
        <v>71.9</v>
      </c>
      <c r="H63" s="282">
        <v>73.7</v>
      </c>
      <c r="I63" s="283">
        <v>75.4</v>
      </c>
      <c r="J63" s="282">
        <v>77.2</v>
      </c>
      <c r="K63" s="283">
        <v>79.1</v>
      </c>
      <c r="L63" s="282">
        <v>80.4</v>
      </c>
      <c r="M63" s="283">
        <v>81.8</v>
      </c>
      <c r="N63" s="282">
        <v>83.1</v>
      </c>
      <c r="O63" s="282">
        <v>84.4</v>
      </c>
      <c r="P63" s="283">
        <v>85.7</v>
      </c>
      <c r="Q63" s="282">
        <v>87.0</v>
      </c>
      <c r="R63" s="282">
        <v>88.3</v>
      </c>
      <c r="S63" s="283">
        <v>89.5</v>
      </c>
      <c r="T63" s="282">
        <v>90.7</v>
      </c>
      <c r="U63" s="282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83">
        <v>62.0</v>
      </c>
      <c r="C64" s="282">
        <v>65.1</v>
      </c>
      <c r="D64" s="282">
        <v>67.4</v>
      </c>
      <c r="E64" s="282">
        <v>69.4</v>
      </c>
      <c r="F64" s="283">
        <v>71.3</v>
      </c>
      <c r="G64" s="282">
        <v>73.1</v>
      </c>
      <c r="H64" s="282">
        <v>74.9</v>
      </c>
      <c r="I64" s="283">
        <v>76.7</v>
      </c>
      <c r="J64" s="282">
        <v>78.5</v>
      </c>
      <c r="K64" s="283">
        <v>80.3</v>
      </c>
      <c r="L64" s="282">
        <v>81.8</v>
      </c>
      <c r="M64" s="283">
        <v>83.1</v>
      </c>
      <c r="N64" s="282">
        <v>84.5</v>
      </c>
      <c r="O64" s="282">
        <v>85.8</v>
      </c>
      <c r="P64" s="283">
        <v>87.1</v>
      </c>
      <c r="Q64" s="282">
        <v>88.4</v>
      </c>
      <c r="R64" s="282">
        <v>89.7</v>
      </c>
      <c r="S64" s="283">
        <v>91.0</v>
      </c>
      <c r="T64" s="282">
        <v>92.2</v>
      </c>
      <c r="U64" s="282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83">
        <v>63.0</v>
      </c>
      <c r="C65" s="282">
        <v>66.2</v>
      </c>
      <c r="D65" s="282">
        <v>68.5</v>
      </c>
      <c r="E65" s="282">
        <v>70.6</v>
      </c>
      <c r="F65" s="283">
        <v>72.4</v>
      </c>
      <c r="G65" s="282">
        <v>74.3</v>
      </c>
      <c r="H65" s="282">
        <v>76.1</v>
      </c>
      <c r="I65" s="283">
        <v>77.9</v>
      </c>
      <c r="J65" s="282">
        <v>79.7</v>
      </c>
      <c r="K65" s="283">
        <v>81.6</v>
      </c>
      <c r="L65" s="282">
        <v>83.1</v>
      </c>
      <c r="M65" s="283">
        <v>84.5</v>
      </c>
      <c r="N65" s="282">
        <v>85.8</v>
      </c>
      <c r="O65" s="282">
        <v>87.2</v>
      </c>
      <c r="P65" s="283">
        <v>88.5</v>
      </c>
      <c r="Q65" s="282">
        <v>89.8</v>
      </c>
      <c r="R65" s="282">
        <v>91.1</v>
      </c>
      <c r="S65" s="283">
        <v>92.4</v>
      </c>
      <c r="T65" s="282">
        <v>93.7</v>
      </c>
      <c r="U65" s="282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83">
        <v>64.0</v>
      </c>
      <c r="C66" s="282">
        <v>67.2</v>
      </c>
      <c r="D66" s="282">
        <v>69.6</v>
      </c>
      <c r="E66" s="282">
        <v>71.7</v>
      </c>
      <c r="F66" s="283">
        <v>73.6</v>
      </c>
      <c r="G66" s="282">
        <v>75.4</v>
      </c>
      <c r="H66" s="282">
        <v>77.3</v>
      </c>
      <c r="I66" s="283">
        <v>79.1</v>
      </c>
      <c r="J66" s="282">
        <v>81.0</v>
      </c>
      <c r="K66" s="283">
        <v>82.9</v>
      </c>
      <c r="L66" s="282">
        <v>84.4</v>
      </c>
      <c r="M66" s="283">
        <v>85.8</v>
      </c>
      <c r="N66" s="282">
        <v>87.2</v>
      </c>
      <c r="O66" s="282">
        <v>88.6</v>
      </c>
      <c r="P66" s="283">
        <v>89.9</v>
      </c>
      <c r="Q66" s="282">
        <v>91.3</v>
      </c>
      <c r="R66" s="282">
        <v>92.6</v>
      </c>
      <c r="S66" s="283">
        <v>93.9</v>
      </c>
      <c r="T66" s="282">
        <v>95.2</v>
      </c>
      <c r="U66" s="282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83">
        <v>65.0</v>
      </c>
      <c r="C67" s="282">
        <v>68.3</v>
      </c>
      <c r="D67" s="282">
        <v>70.7</v>
      </c>
      <c r="E67" s="282">
        <v>72.8</v>
      </c>
      <c r="F67" s="283">
        <v>74.7</v>
      </c>
      <c r="G67" s="282">
        <v>76.6</v>
      </c>
      <c r="H67" s="282">
        <v>78.5</v>
      </c>
      <c r="I67" s="283">
        <v>80.4</v>
      </c>
      <c r="J67" s="282">
        <v>82.3</v>
      </c>
      <c r="K67" s="283">
        <v>84.2</v>
      </c>
      <c r="L67" s="282">
        <v>85.7</v>
      </c>
      <c r="M67" s="283">
        <v>87.2</v>
      </c>
      <c r="N67" s="282">
        <v>88.6</v>
      </c>
      <c r="O67" s="282">
        <v>90.0</v>
      </c>
      <c r="P67" s="283">
        <v>91.3</v>
      </c>
      <c r="Q67" s="282">
        <v>92.7</v>
      </c>
      <c r="R67" s="282">
        <v>94.0</v>
      </c>
      <c r="S67" s="283">
        <v>95.4</v>
      </c>
      <c r="T67" s="282">
        <v>96.7</v>
      </c>
      <c r="U67" s="282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83">
        <v>66.0</v>
      </c>
      <c r="C68" s="282">
        <v>69.3</v>
      </c>
      <c r="D68" s="282">
        <v>71.8</v>
      </c>
      <c r="E68" s="282">
        <v>73.9</v>
      </c>
      <c r="F68" s="283">
        <v>75.9</v>
      </c>
      <c r="G68" s="282">
        <v>77.8</v>
      </c>
      <c r="H68" s="282">
        <v>79.7</v>
      </c>
      <c r="I68" s="283">
        <v>81.6</v>
      </c>
      <c r="J68" s="282">
        <v>83.5</v>
      </c>
      <c r="K68" s="283">
        <v>85.5</v>
      </c>
      <c r="L68" s="282">
        <v>87.0</v>
      </c>
      <c r="M68" s="283">
        <v>88.5</v>
      </c>
      <c r="N68" s="282">
        <v>89.9</v>
      </c>
      <c r="O68" s="282">
        <v>91.4</v>
      </c>
      <c r="P68" s="283">
        <v>92.7</v>
      </c>
      <c r="Q68" s="282">
        <v>94.1</v>
      </c>
      <c r="R68" s="282">
        <v>95.5</v>
      </c>
      <c r="S68" s="283">
        <v>96.8</v>
      </c>
      <c r="T68" s="282">
        <v>98.2</v>
      </c>
      <c r="U68" s="282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83">
        <v>67.0</v>
      </c>
      <c r="C69" s="282">
        <v>70.4</v>
      </c>
      <c r="D69" s="282">
        <v>72.9</v>
      </c>
      <c r="E69" s="282">
        <v>75.0</v>
      </c>
      <c r="F69" s="283">
        <v>77.0</v>
      </c>
      <c r="G69" s="282">
        <v>79.0</v>
      </c>
      <c r="H69" s="282">
        <v>80.9</v>
      </c>
      <c r="I69" s="283">
        <v>82.8</v>
      </c>
      <c r="J69" s="282">
        <v>84.8</v>
      </c>
      <c r="K69" s="283">
        <v>86.8</v>
      </c>
      <c r="L69" s="282">
        <v>88.3</v>
      </c>
      <c r="M69" s="283">
        <v>89.8</v>
      </c>
      <c r="N69" s="282">
        <v>91.3</v>
      </c>
      <c r="O69" s="282">
        <v>92.7</v>
      </c>
      <c r="P69" s="283">
        <v>94.2</v>
      </c>
      <c r="Q69" s="282">
        <v>95.6</v>
      </c>
      <c r="R69" s="282">
        <v>96.9</v>
      </c>
      <c r="S69" s="283">
        <v>98.3</v>
      </c>
      <c r="T69" s="282">
        <v>99.7</v>
      </c>
      <c r="U69" s="282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83">
        <v>68.0</v>
      </c>
      <c r="C70" s="282">
        <v>71.4</v>
      </c>
      <c r="D70" s="282">
        <v>73.9</v>
      </c>
      <c r="E70" s="282">
        <v>76.1</v>
      </c>
      <c r="F70" s="283">
        <v>78.2</v>
      </c>
      <c r="G70" s="282">
        <v>80.2</v>
      </c>
      <c r="H70" s="282">
        <v>82.1</v>
      </c>
      <c r="I70" s="283">
        <v>84.1</v>
      </c>
      <c r="J70" s="282">
        <v>86.1</v>
      </c>
      <c r="K70" s="283">
        <v>88.1</v>
      </c>
      <c r="L70" s="282">
        <v>89.7</v>
      </c>
      <c r="M70" s="283">
        <v>91.2</v>
      </c>
      <c r="N70" s="282">
        <v>92.7</v>
      </c>
      <c r="O70" s="282">
        <v>94.1</v>
      </c>
      <c r="P70" s="283">
        <v>95.6</v>
      </c>
      <c r="Q70" s="282">
        <v>97.0</v>
      </c>
      <c r="R70" s="282">
        <v>98.4</v>
      </c>
      <c r="S70" s="283">
        <v>99.8</v>
      </c>
      <c r="T70" s="282">
        <v>101.2</v>
      </c>
      <c r="U70" s="282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83">
        <v>69.0</v>
      </c>
      <c r="C71" s="282">
        <v>72.5</v>
      </c>
      <c r="D71" s="282">
        <v>75.0</v>
      </c>
      <c r="E71" s="282">
        <v>77.3</v>
      </c>
      <c r="F71" s="283">
        <v>79.3</v>
      </c>
      <c r="G71" s="282">
        <v>81.3</v>
      </c>
      <c r="H71" s="282">
        <v>83.3</v>
      </c>
      <c r="I71" s="283">
        <v>85.3</v>
      </c>
      <c r="J71" s="282">
        <v>87.3</v>
      </c>
      <c r="K71" s="283">
        <v>89.4</v>
      </c>
      <c r="L71" s="282">
        <v>91.0</v>
      </c>
      <c r="M71" s="283">
        <v>92.5</v>
      </c>
      <c r="N71" s="282">
        <v>94.0</v>
      </c>
      <c r="O71" s="282">
        <v>95.5</v>
      </c>
      <c r="P71" s="283">
        <v>97.0</v>
      </c>
      <c r="Q71" s="282">
        <v>98.4</v>
      </c>
      <c r="R71" s="282">
        <v>99.8</v>
      </c>
      <c r="S71" s="283">
        <v>101.2</v>
      </c>
      <c r="T71" s="282">
        <v>102.6</v>
      </c>
      <c r="U71" s="282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83">
        <v>70.0</v>
      </c>
      <c r="C72" s="282">
        <v>73.5</v>
      </c>
      <c r="D72" s="282">
        <v>76.1</v>
      </c>
      <c r="E72" s="282">
        <v>78.4</v>
      </c>
      <c r="F72" s="283">
        <v>80.5</v>
      </c>
      <c r="G72" s="282">
        <v>82.5</v>
      </c>
      <c r="H72" s="282">
        <v>84.5</v>
      </c>
      <c r="I72" s="283">
        <v>86.5</v>
      </c>
      <c r="J72" s="282">
        <v>88.6</v>
      </c>
      <c r="K72" s="283">
        <v>90.7</v>
      </c>
      <c r="L72" s="282">
        <v>92.3</v>
      </c>
      <c r="M72" s="283">
        <v>93.9</v>
      </c>
      <c r="N72" s="282">
        <v>95.4</v>
      </c>
      <c r="O72" s="282">
        <v>96.9</v>
      </c>
      <c r="P72" s="283">
        <v>98.4</v>
      </c>
      <c r="Q72" s="282">
        <v>99.8</v>
      </c>
      <c r="R72" s="282">
        <v>101.3</v>
      </c>
      <c r="S72" s="283">
        <v>102.7</v>
      </c>
      <c r="T72" s="282">
        <v>104.1</v>
      </c>
      <c r="U72" s="282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83">
        <v>71.0</v>
      </c>
      <c r="C73" s="282">
        <v>74.6</v>
      </c>
      <c r="D73" s="282">
        <v>77.2</v>
      </c>
      <c r="E73" s="282">
        <v>79.5</v>
      </c>
      <c r="F73" s="283">
        <v>81.6</v>
      </c>
      <c r="G73" s="282">
        <v>83.7</v>
      </c>
      <c r="H73" s="282">
        <v>85.7</v>
      </c>
      <c r="I73" s="283">
        <v>87.8</v>
      </c>
      <c r="J73" s="282">
        <v>89.9</v>
      </c>
      <c r="K73" s="283">
        <v>92.0</v>
      </c>
      <c r="L73" s="282">
        <v>93.6</v>
      </c>
      <c r="M73" s="283">
        <v>95.2</v>
      </c>
      <c r="N73" s="282">
        <v>96.7</v>
      </c>
      <c r="O73" s="282">
        <v>98.3</v>
      </c>
      <c r="P73" s="283">
        <v>99.8</v>
      </c>
      <c r="Q73" s="282">
        <v>101.3</v>
      </c>
      <c r="R73" s="282">
        <v>102.7</v>
      </c>
      <c r="S73" s="283">
        <v>104.2</v>
      </c>
      <c r="T73" s="282">
        <v>105.6</v>
      </c>
      <c r="U73" s="282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83">
        <v>72.0</v>
      </c>
      <c r="C74" s="282">
        <v>75.6</v>
      </c>
      <c r="D74" s="282">
        <v>78.3</v>
      </c>
      <c r="E74" s="282">
        <v>80.6</v>
      </c>
      <c r="F74" s="283">
        <v>82.8</v>
      </c>
      <c r="G74" s="282">
        <v>84.9</v>
      </c>
      <c r="H74" s="282">
        <v>86.9</v>
      </c>
      <c r="I74" s="283">
        <v>89.0</v>
      </c>
      <c r="J74" s="282">
        <v>91.1</v>
      </c>
      <c r="K74" s="283">
        <v>93.3</v>
      </c>
      <c r="L74" s="282">
        <v>94.9</v>
      </c>
      <c r="M74" s="283">
        <v>96.5</v>
      </c>
      <c r="N74" s="282">
        <v>98.1</v>
      </c>
      <c r="O74" s="282">
        <v>99.7</v>
      </c>
      <c r="P74" s="283">
        <v>101.2</v>
      </c>
      <c r="Q74" s="282">
        <v>102.7</v>
      </c>
      <c r="R74" s="282">
        <v>104.2</v>
      </c>
      <c r="S74" s="283">
        <v>105.6</v>
      </c>
      <c r="T74" s="282">
        <v>107.1</v>
      </c>
      <c r="U74" s="282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83">
        <v>73.0</v>
      </c>
      <c r="C75" s="282">
        <v>76.7</v>
      </c>
      <c r="D75" s="282">
        <v>79.4</v>
      </c>
      <c r="E75" s="282">
        <v>81.7</v>
      </c>
      <c r="F75" s="283">
        <v>83.9</v>
      </c>
      <c r="G75" s="282">
        <v>86.1</v>
      </c>
      <c r="H75" s="282">
        <v>88.1</v>
      </c>
      <c r="I75" s="283">
        <v>90.3</v>
      </c>
      <c r="J75" s="282">
        <v>92.4</v>
      </c>
      <c r="K75" s="283">
        <v>94.6</v>
      </c>
      <c r="L75" s="282">
        <v>96.3</v>
      </c>
      <c r="M75" s="283">
        <v>97.9</v>
      </c>
      <c r="N75" s="282">
        <v>99.5</v>
      </c>
      <c r="O75" s="282">
        <v>101.0</v>
      </c>
      <c r="P75" s="283">
        <v>102.6</v>
      </c>
      <c r="Q75" s="282">
        <v>104.1</v>
      </c>
      <c r="R75" s="282">
        <v>105.6</v>
      </c>
      <c r="S75" s="283">
        <v>107.1</v>
      </c>
      <c r="T75" s="282">
        <v>108.6</v>
      </c>
      <c r="U75" s="282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83">
        <v>74.0</v>
      </c>
      <c r="C76" s="282">
        <v>77.7</v>
      </c>
      <c r="D76" s="282">
        <v>80.5</v>
      </c>
      <c r="E76" s="282">
        <v>82.9</v>
      </c>
      <c r="F76" s="283">
        <v>85.1</v>
      </c>
      <c r="G76" s="282">
        <v>87.2</v>
      </c>
      <c r="H76" s="282">
        <v>89.4</v>
      </c>
      <c r="I76" s="283">
        <v>91.5</v>
      </c>
      <c r="J76" s="282">
        <v>93.7</v>
      </c>
      <c r="K76" s="283">
        <v>95.9</v>
      </c>
      <c r="L76" s="282">
        <v>97.6</v>
      </c>
      <c r="M76" s="283">
        <v>99.2</v>
      </c>
      <c r="N76" s="282">
        <v>100.8</v>
      </c>
      <c r="O76" s="282">
        <v>102.4</v>
      </c>
      <c r="P76" s="283">
        <v>104.0</v>
      </c>
      <c r="Q76" s="282">
        <v>105.5</v>
      </c>
      <c r="R76" s="282">
        <v>107.1</v>
      </c>
      <c r="S76" s="283">
        <v>108.6</v>
      </c>
      <c r="T76" s="282">
        <v>110.1</v>
      </c>
      <c r="U76" s="282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83">
        <v>75.0</v>
      </c>
      <c r="C77" s="282">
        <v>78.8</v>
      </c>
      <c r="D77" s="282">
        <v>81.6</v>
      </c>
      <c r="E77" s="282">
        <v>84.0</v>
      </c>
      <c r="F77" s="283">
        <v>86.2</v>
      </c>
      <c r="G77" s="282">
        <v>88.4</v>
      </c>
      <c r="H77" s="282">
        <v>90.6</v>
      </c>
      <c r="I77" s="283">
        <v>92.7</v>
      </c>
      <c r="J77" s="282">
        <v>94.9</v>
      </c>
      <c r="K77" s="283">
        <v>97.2</v>
      </c>
      <c r="L77" s="282">
        <v>98.9</v>
      </c>
      <c r="M77" s="283">
        <v>100.6</v>
      </c>
      <c r="N77" s="282">
        <v>102.2</v>
      </c>
      <c r="O77" s="282">
        <v>103.8</v>
      </c>
      <c r="P77" s="283">
        <v>105.4</v>
      </c>
      <c r="Q77" s="282">
        <v>107.0</v>
      </c>
      <c r="R77" s="282">
        <v>108.5</v>
      </c>
      <c r="S77" s="283">
        <v>110.0</v>
      </c>
      <c r="T77" s="282">
        <v>111.6</v>
      </c>
      <c r="U77" s="282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83">
        <v>76.0</v>
      </c>
      <c r="C78" s="282">
        <v>79.8</v>
      </c>
      <c r="D78" s="282">
        <v>82.6</v>
      </c>
      <c r="E78" s="282">
        <v>85.1</v>
      </c>
      <c r="F78" s="283">
        <v>87.4</v>
      </c>
      <c r="G78" s="282">
        <v>89.6</v>
      </c>
      <c r="H78" s="282">
        <v>91.8</v>
      </c>
      <c r="I78" s="283">
        <v>94.0</v>
      </c>
      <c r="J78" s="282">
        <v>96.2</v>
      </c>
      <c r="K78" s="283">
        <v>98.5</v>
      </c>
      <c r="L78" s="282">
        <v>100.2</v>
      </c>
      <c r="M78" s="283">
        <v>101.9</v>
      </c>
      <c r="N78" s="282">
        <v>103.6</v>
      </c>
      <c r="O78" s="282">
        <v>105.2</v>
      </c>
      <c r="P78" s="283">
        <v>106.8</v>
      </c>
      <c r="Q78" s="282">
        <v>108.4</v>
      </c>
      <c r="R78" s="282">
        <v>110.0</v>
      </c>
      <c r="S78" s="283">
        <v>111.5</v>
      </c>
      <c r="T78" s="282">
        <v>113.1</v>
      </c>
      <c r="U78" s="282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83">
        <v>77.0</v>
      </c>
      <c r="C79" s="282">
        <v>80.9</v>
      </c>
      <c r="D79" s="282">
        <v>83.7</v>
      </c>
      <c r="E79" s="282">
        <v>86.2</v>
      </c>
      <c r="F79" s="283">
        <v>88.5</v>
      </c>
      <c r="G79" s="282">
        <v>90.8</v>
      </c>
      <c r="H79" s="282">
        <v>93.0</v>
      </c>
      <c r="I79" s="283">
        <v>95.2</v>
      </c>
      <c r="J79" s="282">
        <v>97.5</v>
      </c>
      <c r="K79" s="283">
        <v>99.8</v>
      </c>
      <c r="L79" s="282">
        <v>101.5</v>
      </c>
      <c r="M79" s="283">
        <v>103.2</v>
      </c>
      <c r="N79" s="282">
        <v>104.9</v>
      </c>
      <c r="O79" s="282">
        <v>106.6</v>
      </c>
      <c r="P79" s="283">
        <v>108.2</v>
      </c>
      <c r="Q79" s="282">
        <v>109.8</v>
      </c>
      <c r="R79" s="282">
        <v>111.4</v>
      </c>
      <c r="S79" s="283">
        <v>113.0</v>
      </c>
      <c r="T79" s="282">
        <v>114.5</v>
      </c>
      <c r="U79" s="282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83">
        <v>78.0</v>
      </c>
      <c r="C80" s="282">
        <v>81.9</v>
      </c>
      <c r="D80" s="282">
        <v>84.8</v>
      </c>
      <c r="E80" s="282">
        <v>87.3</v>
      </c>
      <c r="F80" s="283">
        <v>89.7</v>
      </c>
      <c r="G80" s="282">
        <v>91.9</v>
      </c>
      <c r="H80" s="282">
        <v>94.2</v>
      </c>
      <c r="I80" s="283">
        <v>96.4</v>
      </c>
      <c r="J80" s="282">
        <v>98.7</v>
      </c>
      <c r="K80" s="283">
        <v>101.1</v>
      </c>
      <c r="L80" s="282">
        <v>102.9</v>
      </c>
      <c r="M80" s="283">
        <v>104.6</v>
      </c>
      <c r="N80" s="282">
        <v>106.3</v>
      </c>
      <c r="O80" s="282">
        <v>108.0</v>
      </c>
      <c r="P80" s="283">
        <v>109.6</v>
      </c>
      <c r="Q80" s="282">
        <v>111.2</v>
      </c>
      <c r="R80" s="282">
        <v>112.9</v>
      </c>
      <c r="S80" s="283">
        <v>114.4</v>
      </c>
      <c r="T80" s="282">
        <v>116.0</v>
      </c>
      <c r="U80" s="282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83">
        <v>79.0</v>
      </c>
      <c r="C81" s="282">
        <v>83.0</v>
      </c>
      <c r="D81" s="282">
        <v>85.9</v>
      </c>
      <c r="E81" s="282">
        <v>88.5</v>
      </c>
      <c r="F81" s="283">
        <v>90.8</v>
      </c>
      <c r="G81" s="282">
        <v>93.1</v>
      </c>
      <c r="H81" s="282">
        <v>95.4</v>
      </c>
      <c r="I81" s="283">
        <v>97.7</v>
      </c>
      <c r="J81" s="282">
        <v>100.0</v>
      </c>
      <c r="K81" s="283">
        <v>102.4</v>
      </c>
      <c r="L81" s="282">
        <v>104.2</v>
      </c>
      <c r="M81" s="283">
        <v>105.9</v>
      </c>
      <c r="N81" s="282">
        <v>107.6</v>
      </c>
      <c r="O81" s="282">
        <v>109.3</v>
      </c>
      <c r="P81" s="283">
        <v>111.0</v>
      </c>
      <c r="Q81" s="282">
        <v>112.7</v>
      </c>
      <c r="R81" s="282">
        <v>114.3</v>
      </c>
      <c r="S81" s="283">
        <v>115.9</v>
      </c>
      <c r="T81" s="282">
        <v>117.5</v>
      </c>
      <c r="U81" s="282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83">
        <v>80.0</v>
      </c>
      <c r="C82" s="282">
        <v>84.0</v>
      </c>
      <c r="D82" s="282">
        <v>87.0</v>
      </c>
      <c r="E82" s="282">
        <v>89.6</v>
      </c>
      <c r="F82" s="283">
        <v>92.0</v>
      </c>
      <c r="G82" s="282">
        <v>94.3</v>
      </c>
      <c r="H82" s="282">
        <v>96.6</v>
      </c>
      <c r="I82" s="283">
        <v>98.9</v>
      </c>
      <c r="J82" s="282">
        <v>101.3</v>
      </c>
      <c r="K82" s="283">
        <v>103.7</v>
      </c>
      <c r="L82" s="282">
        <v>105.5</v>
      </c>
      <c r="M82" s="283">
        <v>107.3</v>
      </c>
      <c r="N82" s="282">
        <v>109.0</v>
      </c>
      <c r="O82" s="282">
        <v>110.7</v>
      </c>
      <c r="P82" s="283">
        <v>112.4</v>
      </c>
      <c r="Q82" s="282">
        <v>114.1</v>
      </c>
      <c r="R82" s="282">
        <v>115.7</v>
      </c>
      <c r="S82" s="283">
        <v>117.4</v>
      </c>
      <c r="T82" s="282">
        <v>119.0</v>
      </c>
      <c r="U82" s="282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